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Activities" sheetId="3" state="visible" r:id="rId3"/>
    <sheet xmlns:r="http://schemas.openxmlformats.org/officeDocument/2006/relationships" name="Weekly Scorecard" sheetId="4" state="visible" r:id="rId4"/>
    <sheet xmlns:r="http://schemas.openxmlformats.org/officeDocument/2006/relationships" name="Instructions" sheetId="5" state="visible" r:id="rId5"/>
    <sheet xmlns:r="http://schemas.openxmlformats.org/officeDocument/2006/relationships" name="Lists" sheetId="6" state="hidden" r:id="rId6"/>
  </sheets>
  <definedNames>
    <definedName name="Channels">'Lists'!$A$2:$A$7</definedName>
    <definedName name="Offers">'Lists'!$B$2:$B$7</definedName>
    <definedName name="Stages">'Lists'!$C$2:$C$13</definedName>
    <definedName name="ActivityTypes">'Lists'!$D$2:$D$14</definedName>
    <definedName name="Probabilities">'Lists'!$E$2:$E$8</definedName>
    <definedName name="_xlnm._FilterDatabase" localSheetId="1" hidden="1">'Leads'!$A$5:$AC$205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D8E2F0"/>
      <sz val="10"/>
    </font>
    <font>
      <b val="1"/>
      <color rgb="000B132B"/>
    </font>
    <font>
      <b val="1"/>
      <color rgb="00FFFFFF"/>
      <sz val="11"/>
    </font>
    <font>
      <b val="1"/>
      <color rgb="00FFFFFF"/>
    </font>
    <font>
      <b val="1"/>
      <color rgb="000B132B"/>
      <sz val="14"/>
    </font>
    <font>
      <b val="1"/>
      <color rgb="00E76F51"/>
      <sz val="14"/>
    </font>
    <font>
      <i val="1"/>
      <color rgb="00667085"/>
    </font>
    <font>
      <b val="1"/>
    </font>
  </fonts>
  <fills count="11">
    <fill>
      <patternFill/>
    </fill>
    <fill>
      <patternFill patternType="gray125"/>
    </fill>
    <fill>
      <patternFill patternType="solid">
        <fgColor rgb="000B132B"/>
      </patternFill>
    </fill>
    <fill>
      <patternFill patternType="solid">
        <fgColor rgb="00FEF3C7"/>
      </patternFill>
    </fill>
    <fill>
      <patternFill patternType="solid">
        <fgColor rgb="001C5D99"/>
      </patternFill>
    </fill>
    <fill>
      <patternFill patternType="solid">
        <fgColor rgb="002A9D8F"/>
      </patternFill>
    </fill>
    <fill>
      <patternFill patternType="solid">
        <fgColor rgb="00DCFCE7"/>
      </patternFill>
    </fill>
    <fill>
      <patternFill patternType="solid">
        <fgColor rgb="00E76F51"/>
      </patternFill>
    </fill>
    <fill>
      <patternFill patternType="solid">
        <fgColor rgb="00FEE2E2"/>
      </patternFill>
    </fill>
    <fill>
      <patternFill patternType="solid">
        <fgColor rgb="00DCE6F1"/>
      </patternFill>
    </fill>
    <fill>
      <patternFill patternType="solid">
        <fgColor rgb="00E9C46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165" fontId="0" fillId="3" borderId="1" pivotButton="0" quotePrefix="0" xfId="0"/>
    <xf numFmtId="0" fontId="5" fillId="5" borderId="0" pivotButton="0" quotePrefix="0" xfId="0"/>
    <xf numFmtId="166" fontId="6" fillId="6" borderId="1" pivotButton="0" quotePrefix="0" xfId="0"/>
    <xf numFmtId="0" fontId="5" fillId="7" borderId="0" pivotButton="0" quotePrefix="0" xfId="0"/>
    <xf numFmtId="0" fontId="7" fillId="8" borderId="1" pivotButton="0" quotePrefix="0" xfId="0"/>
    <xf numFmtId="0" fontId="4" fillId="4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0" borderId="1" pivotButton="0" quotePrefix="0" xfId="0"/>
    <xf numFmtId="9" fontId="0" fillId="0" borderId="1" pivotButton="0" quotePrefix="0" xfId="0"/>
    <xf numFmtId="0" fontId="8" fillId="0" borderId="0" pivotButton="0" quotePrefix="0" xfId="0"/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6" fontId="0" fillId="9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3" fillId="0" borderId="1" pivotButton="0" quotePrefix="0" xfId="0"/>
    <xf numFmtId="0" fontId="3" fillId="10" borderId="1" pivotButton="0" quotePrefix="0" xfId="0"/>
    <xf numFmtId="0" fontId="9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target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'Dashboard'!$A$9:$A$17</f>
            </numRef>
          </cat>
          <val>
            <numRef>
              <f>'Dashboard'!$B$9:$B$17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'Dashboard'!$A$9:$A$17</f>
            </numRef>
          </cat>
          <val>
            <numRef>
              <f>'Dashboard'!$C$9:$C$17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outbound activity</a:t>
            </a:r>
          </a:p>
        </rich>
      </tx>
    </title>
    <plotArea>
      <lineChart>
        <grouping val="standard"/>
        <ser>
          <idx val="0"/>
          <order val="0"/>
          <tx>
            <strRef>
              <f>'Weekly Scorecard'!C5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Scorecard'!$A$6:$A$17</f>
            </numRef>
          </cat>
          <val>
            <numRef>
              <f>'Weekly Scorecard'!$C$6:$C$17</f>
            </numRef>
          </val>
        </ser>
        <ser>
          <idx val="1"/>
          <order val="1"/>
          <tx>
            <strRef>
              <f>'Weekly Scorecard'!D5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Scorecard'!$A$6:$A$17</f>
            </numRef>
          </cat>
          <val>
            <numRef>
              <f>'Weekly Scorecard'!$D$6:$D$17</f>
            </numRef>
          </val>
        </ser>
        <ser>
          <idx val="2"/>
          <order val="2"/>
          <tx>
            <strRef>
              <f>'Weekly Scorecard'!E5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Scorecard'!$A$6:$A$17</f>
            </numRef>
          </cat>
          <val>
            <numRef>
              <f>'Weekly Scorecard'!$E$6:$E$17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Activities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0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eadTable" displayName="LeadTable" ref="A5:AC205" headerRowCount="1">
  <autoFilter ref="A5:AC205"/>
  <tableColumns count="29">
    <tableColumn id="1" name="Lead ID"/>
    <tableColumn id="2" name="Created Date"/>
    <tableColumn id="3" name="Company / Opportunity"/>
    <tableColumn id="4" name="Contact Name"/>
    <tableColumn id="5" name="Role"/>
    <tableColumn id="6" name="Country"/>
    <tableColumn id="7" name="Sector"/>
    <tableColumn id="8" name="Channel"/>
    <tableColumn id="9" name="Source URL"/>
    <tableColumn id="10" name="Problem Hypothesis"/>
    <tableColumn id="11" name="Relevant Offer"/>
    <tableColumn id="12" name="Estimated Value USD"/>
    <tableColumn id="13" name="Capability Fit (0-2)"/>
    <tableColumn id="14" name="Budget (0-2)"/>
    <tableColumn id="15" name="Scope Clarity (0-2)"/>
    <tableColumn id="16" name="Client History (0-2)"/>
    <tableColumn id="17" name="Decision Quality (0-2)"/>
    <tableColumn id="18" name="Proof Match (0-2)"/>
    <tableColumn id="19" name="Timing (0-2)"/>
    <tableColumn id="20" name="Total Score"/>
    <tableColumn id="21" name="Recommendation"/>
    <tableColumn id="22" name="Stage"/>
    <tableColumn id="23" name="Last Activity"/>
    <tableColumn id="24" name="Next Action"/>
    <tableColumn id="25" name="Next Action Date"/>
    <tableColumn id="26" name="Probability"/>
    <tableColumn id="27" name="Weighted Pipeline USD"/>
    <tableColumn id="28" name="Outcome / Loss Reason"/>
    <tableColumn id="2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ityTable" displayName="ActivityTable" ref="A5:K405" headerRowCount="1">
  <autoFilter ref="A5:K405"/>
  <tableColumns count="11">
    <tableColumn id="1" name="Activity ID"/>
    <tableColumn id="2" name="Date"/>
    <tableColumn id="3" name="Lead ID"/>
    <tableColumn id="4" name="Company / Opportunity"/>
    <tableColumn id="5" name="Activity Type"/>
    <tableColumn id="6" name="Channel"/>
    <tableColumn id="7" name="Outcome"/>
    <tableColumn id="8" name="Qualified?"/>
    <tableColumn id="9" name="Amount USD"/>
    <tableColumn id="10" name="Next Action Date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lyTable" displayName="WeeklyTable" ref="A5:T17" headerRowCount="1">
  <autoFilter ref="A5:T17"/>
  <tableColumns count="20">
    <tableColumn id="1" name="Week Start"/>
    <tableColumn id="2" name="GCC Accounts"/>
    <tableColumn id="3" name="Upwork Proposals"/>
    <tableColumn id="4" name="GCC Outreach"/>
    <tableColumn id="5" name="Warm Intros"/>
    <tableColumn id="6" name="Replies"/>
    <tableColumn id="7" name="Qualified Replies"/>
    <tableColumn id="8" name="Calls Completed"/>
    <tableColumn id="9" name="Blueprints Proposed"/>
    <tableColumn id="10" name="Blueprints Sold"/>
    <tableColumn id="11" name="Build Proposals"/>
    <tableColumn id="12" name="Wins"/>
    <tableColumn id="13" name="Collected Cash USD"/>
    <tableColumn id="14" name="Pipeline Snapshot USD"/>
    <tableColumn id="15" name="Reply Rate"/>
    <tableColumn id="16" name="Qualification Rate"/>
    <tableColumn id="17" name="Call Rate"/>
    <tableColumn id="18" name="Proposal Rate"/>
    <tableColumn id="19" name="Win Rate"/>
    <tableColumn id="20" name="Weekly Learning / 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22" customWidth="1" min="4" max="4"/>
    <col width="3" customWidth="1" min="5" max="5"/>
    <col width="25" customWidth="1" min="6" max="6"/>
    <col width="18" customWidth="1" min="7" max="7"/>
    <col width="15" customWidth="1" min="8" max="8"/>
    <col width="15" customWidth="1" min="9" max="9"/>
  </cols>
  <sheetData>
    <row r="1" ht="34" customHeight="1">
      <c r="A1" s="1" t="inlineStr">
        <is>
          <t>Kepler Dev — Sales Dashboard</t>
        </is>
      </c>
    </row>
    <row r="2" ht="22" customHeight="1">
      <c r="A2" s="2" t="inlineStr">
        <is>
          <t>Controlled-launch performance, funnel health, and pipeline visibility</t>
        </is>
      </c>
    </row>
    <row r="4">
      <c r="A4" s="3" t="inlineStr">
        <is>
          <t>Reporting start</t>
        </is>
      </c>
      <c r="B4" s="4" t="n">
        <v>46244</v>
      </c>
      <c r="F4" s="5" t="inlineStr">
        <is>
          <t>Open weighted pipeline</t>
        </is>
      </c>
      <c r="G4" s="6">
        <f>SUM(Leads!$AA$6:$AA$205)</f>
        <v/>
      </c>
    </row>
    <row r="5">
      <c r="A5" s="3" t="inlineStr">
        <is>
          <t>Reporting end</t>
        </is>
      </c>
      <c r="B5" s="4" t="n">
        <v>46271</v>
      </c>
    </row>
    <row r="6">
      <c r="F6" s="7" t="inlineStr">
        <is>
          <t>Overdue next actions</t>
        </is>
      </c>
      <c r="G6" s="8">
        <f>COUNTIFS(Leads!$Y$6:$Y$205,"&lt;"&amp;TODAY(),Leads!$Y$6:$Y$205,"&lt;&gt;",Leads!$V$6:$V$205,"&lt;&gt;Won",Leads!$V$6:$V$205,"&lt;&gt;Lost/Rejected")</f>
        <v/>
      </c>
    </row>
    <row r="7" ht="24" customHeight="1">
      <c r="A7" s="9" t="inlineStr">
        <is>
          <t>CONTROLLED-LAUNCH TARGETS</t>
        </is>
      </c>
    </row>
    <row r="8" ht="34" customHeight="1">
      <c r="A8" s="10" t="inlineStr">
        <is>
          <t>Metric</t>
        </is>
      </c>
      <c r="B8" s="10" t="inlineStr">
        <is>
          <t>Actual</t>
        </is>
      </c>
      <c r="C8" s="10" t="inlineStr">
        <is>
          <t>Target</t>
        </is>
      </c>
      <c r="D8" s="10" t="inlineStr">
        <is>
          <t>Progress</t>
        </is>
      </c>
    </row>
    <row r="9">
      <c r="A9" s="11" t="inlineStr">
        <is>
          <t>Researched GCC accounts</t>
        </is>
      </c>
      <c r="B9" s="11">
        <f>COUNTIFS(Leads!$B$6:$B$205,"&gt;="&amp;$B$4,Leads!$B$6:$B$205,"&lt;="&amp;$B$5,Leads!$H$6:$H$205,"GCC Direct")</f>
        <v/>
      </c>
      <c r="C9" s="11" t="n">
        <v>30</v>
      </c>
      <c r="D9" s="12">
        <f>IFERROR(B9/C9,0)</f>
        <v/>
      </c>
    </row>
    <row r="10">
      <c r="A10" s="11" t="inlineStr">
        <is>
          <t>Upwork proposals sent</t>
        </is>
      </c>
      <c r="B10" s="11">
        <f>COUNTIFS(Activities!$B$6:$B$405,"&gt;="&amp;$B$4,Activities!$B$6:$B$405,"&lt;="&amp;$B$5,Activities!$E$6:$E$405,"Upwork Proposal")</f>
        <v/>
      </c>
      <c r="C10" s="11" t="n">
        <v>20</v>
      </c>
      <c r="D10" s="12">
        <f>IFERROR(B10/C10,0)</f>
        <v/>
      </c>
    </row>
    <row r="11">
      <c r="A11" s="11" t="inlineStr">
        <is>
          <t>Personalized GCC messages</t>
        </is>
      </c>
      <c r="B11" s="11">
        <f>COUNTIFS(Activities!$B$6:$B$405,"&gt;="&amp;$B$4,Activities!$B$6:$B$405,"&lt;="&amp;$B$5,Activities!$E$6:$E$405,"GCC Outreach")</f>
        <v/>
      </c>
      <c r="C11" s="11" t="n">
        <v>15</v>
      </c>
      <c r="D11" s="12">
        <f>IFERROR(B11/C11,0)</f>
        <v/>
      </c>
    </row>
    <row r="12">
      <c r="A12" s="11" t="inlineStr">
        <is>
          <t>Warm introduction requests</t>
        </is>
      </c>
      <c r="B12" s="11">
        <f>COUNTIFS(Activities!$B$6:$B$405,"&gt;="&amp;$B$4,Activities!$B$6:$B$405,"&lt;="&amp;$B$5,Activities!$E$6:$E$405,"Warm Introduction Request")</f>
        <v/>
      </c>
      <c r="C12" s="11" t="n">
        <v>10</v>
      </c>
      <c r="D12" s="12">
        <f>IFERROR(B12/C12,0)</f>
        <v/>
      </c>
    </row>
    <row r="13">
      <c r="A13" s="11" t="inlineStr">
        <is>
          <t>Qualified discovery calls</t>
        </is>
      </c>
      <c r="B13" s="11">
        <f>COUNTIFS(Activities!$B$6:$B$405,"&gt;="&amp;$B$4,Activities!$B$6:$B$405,"&lt;="&amp;$B$5,Activities!$E$6:$E$405,"Discovery Call Completed",Activities!$H$6:$H$405,"Yes")</f>
        <v/>
      </c>
      <c r="C13" s="11" t="n">
        <v>5</v>
      </c>
      <c r="D13" s="12">
        <f>IFERROR(B13/C13,0)</f>
        <v/>
      </c>
    </row>
    <row r="14">
      <c r="A14" s="11" t="inlineStr">
        <is>
          <t>Blueprint proposals</t>
        </is>
      </c>
      <c r="B14" s="11">
        <f>COUNTIFS(Activities!$B$6:$B$405,"&gt;="&amp;$B$4,Activities!$B$6:$B$405,"&lt;="&amp;$B$5,Activities!$E$6:$E$405,"Blueprint Proposed")</f>
        <v/>
      </c>
      <c r="C14" s="11" t="n">
        <v>2</v>
      </c>
      <c r="D14" s="12">
        <f>IFERROR(B14/C14,0)</f>
        <v/>
      </c>
    </row>
    <row r="15">
      <c r="A15" s="11" t="inlineStr">
        <is>
          <t>Build proposals</t>
        </is>
      </c>
      <c r="B15" s="11">
        <f>COUNTIFS(Activities!$B$6:$B$405,"&gt;="&amp;$B$4,Activities!$B$6:$B$405,"&lt;="&amp;$B$5,Activities!$E$6:$E$405,"Build Proposal Sent")</f>
        <v/>
      </c>
      <c r="C15" s="11" t="n">
        <v>1</v>
      </c>
      <c r="D15" s="12">
        <f>IFERROR(B15/C15,0)</f>
        <v/>
      </c>
    </row>
    <row r="16">
      <c r="A16" s="11" t="inlineStr">
        <is>
          <t>Contracts won</t>
        </is>
      </c>
      <c r="B16" s="11">
        <f>COUNTIFS(Activities!$B$6:$B$405,"&gt;="&amp;$B$4,Activities!$B$6:$B$405,"&lt;="&amp;$B$5,Activities!$E$6:$E$405,"Contract Won")</f>
        <v/>
      </c>
      <c r="C16" s="11" t="n">
        <v>1</v>
      </c>
      <c r="D16" s="12">
        <f>IFERROR(B16/C16,0)</f>
        <v/>
      </c>
    </row>
    <row r="17">
      <c r="A17" s="11" t="inlineStr">
        <is>
          <t>Collected cash (USD)</t>
        </is>
      </c>
      <c r="B17" s="13">
        <f>SUMIFS(Activities!$I$6:$I$405,Activities!$B$6:$B$405,"&gt;="&amp;$B$4,Activities!$B$6:$B$405,"&lt;="&amp;$B$5,Activities!$E$6:$E$405,"Payment Collected")</f>
        <v/>
      </c>
      <c r="C17" s="13" t="n">
        <v>2000</v>
      </c>
      <c r="D17" s="12">
        <f>IFERROR(B17/C17,0)</f>
        <v/>
      </c>
    </row>
    <row r="20" ht="24" customHeight="1">
      <c r="A20" s="9" t="inlineStr">
        <is>
          <t>FUNNEL AND PIPELINE</t>
        </is>
      </c>
    </row>
    <row r="21" ht="34" customHeight="1">
      <c r="A21" s="10" t="inlineStr">
        <is>
          <t>Funnel step</t>
        </is>
      </c>
      <c r="B21" s="10" t="inlineStr">
        <is>
          <t>Count</t>
        </is>
      </c>
      <c r="C21" s="10" t="inlineStr">
        <is>
          <t>Conversion</t>
        </is>
      </c>
      <c r="D21" s="10" t="inlineStr">
        <is>
          <t>Interpretation</t>
        </is>
      </c>
    </row>
    <row r="22">
      <c r="A22" s="14" t="inlineStr">
        <is>
          <t>First contacts</t>
        </is>
      </c>
      <c r="B22" s="14">
        <f>COUNTIFS(Activities!$B$6:$B$405,"&gt;="&amp;$B$4,Activities!$B$6:$B$405,"&lt;="&amp;$B$5,Activities!$E$6:$E$405,"Upwork Proposal")+COUNTIFS(Activities!$B$6:$B$405,"&gt;="&amp;$B$4,Activities!$B$6:$B$405,"&lt;="&amp;$B$5,Activities!$E$6:$E$405,"GCC Outreach")+COUNTIFS(Activities!$B$6:$B$405,"&gt;="&amp;$B$4,Activities!$B$6:$B$405,"&lt;="&amp;$B$5,Activities!$E$6:$E$405,"Warm Introduction Request")</f>
        <v/>
      </c>
      <c r="C22" s="15" t="inlineStr"/>
      <c r="D22" s="14" t="inlineStr">
        <is>
          <t>Activity volume</t>
        </is>
      </c>
    </row>
    <row r="23">
      <c r="A23" s="14" t="inlineStr">
        <is>
          <t>Replies</t>
        </is>
      </c>
      <c r="B23" s="14">
        <f>COUNTIFS(Activities!$B$6:$B$405,"&gt;="&amp;$B$4,Activities!$B$6:$B$405,"&lt;="&amp;$B$5,Activities!$E$6:$E$405,"Reply Received")</f>
        <v/>
      </c>
      <c r="C23" s="15">
        <f>IFERROR(B23/B22,0)</f>
        <v/>
      </c>
      <c r="D23" s="14" t="inlineStr">
        <is>
          <t>Message-market response</t>
        </is>
      </c>
    </row>
    <row r="24">
      <c r="A24" s="14" t="inlineStr">
        <is>
          <t>Qualified replies</t>
        </is>
      </c>
      <c r="B24" s="14">
        <f>COUNTIFS(Activities!$B$6:$B$405,"&gt;="&amp;$B$4,Activities!$B$6:$B$405,"&lt;="&amp;$B$5,Activities!$E$6:$E$405,"Reply Received",Activities!$H$6:$H$405,"Yes")</f>
        <v/>
      </c>
      <c r="C24" s="15">
        <f>IFERROR(B24/B23,0)</f>
        <v/>
      </c>
      <c r="D24" s="14" t="inlineStr">
        <is>
          <t>Lead quality</t>
        </is>
      </c>
    </row>
    <row r="25">
      <c r="A25" s="14" t="inlineStr">
        <is>
          <t>Discovery calls</t>
        </is>
      </c>
      <c r="B25" s="14">
        <f>COUNTIFS(Activities!$B$6:$B$405,"&gt;="&amp;$B$4,Activities!$B$6:$B$405,"&lt;="&amp;$B$5,Activities!$E$6:$E$405,"Discovery Call Completed")</f>
        <v/>
      </c>
      <c r="C25" s="15">
        <f>IFERROR(B25/B24,0)</f>
        <v/>
      </c>
      <c r="D25" s="14" t="inlineStr">
        <is>
          <t>Qualification to conversation</t>
        </is>
      </c>
    </row>
    <row r="26">
      <c r="A26" s="14" t="inlineStr">
        <is>
          <t>Paid offers proposed</t>
        </is>
      </c>
      <c r="B26" s="14">
        <f>COUNTIFS(Activities!$B$6:$B$405,"&gt;="&amp;$B$4,Activities!$B$6:$B$405,"&lt;="&amp;$B$5,Activities!$E$6:$E$405,"Blueprint Proposed")+COUNTIFS(Activities!$B$6:$B$405,"&gt;="&amp;$B$4,Activities!$B$6:$B$405,"&lt;="&amp;$B$5,Activities!$E$6:$E$405,"Build Proposal Sent")</f>
        <v/>
      </c>
      <c r="C26" s="15">
        <f>IFERROR(B26/B25,0)</f>
        <v/>
      </c>
      <c r="D26" s="14" t="inlineStr">
        <is>
          <t>Call to commercial next step</t>
        </is>
      </c>
    </row>
    <row r="27">
      <c r="A27" s="14" t="inlineStr">
        <is>
          <t>Contracts won</t>
        </is>
      </c>
      <c r="B27" s="14">
        <f>COUNTIFS(Activities!$B$6:$B$405,"&gt;="&amp;$B$4,Activities!$B$6:$B$405,"&lt;="&amp;$B$5,Activities!$E$6:$E$405,"Contract Won")</f>
        <v/>
      </c>
      <c r="C27" s="15">
        <f>IFERROR(B27/B26,0)</f>
        <v/>
      </c>
      <c r="D27" s="14" t="inlineStr">
        <is>
          <t>Offer conversion</t>
        </is>
      </c>
    </row>
  </sheetData>
  <mergeCells count="4">
    <mergeCell ref="A1:I1"/>
    <mergeCell ref="A7:D7"/>
    <mergeCell ref="A2:I2"/>
    <mergeCell ref="A20:D20"/>
  </mergeCells>
  <conditionalFormatting sqref="D9:D17">
    <cfRule type="dataBar" priority="1">
      <dataBar>
        <cfvo type="num" val="0"/>
        <cfvo type="num" val="1"/>
        <color rgb="002A9D8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0" customWidth="1" min="4" max="4"/>
    <col width="19" customWidth="1" min="5" max="5"/>
    <col width="15" customWidth="1" min="6" max="6"/>
    <col width="20" customWidth="1" min="7" max="7"/>
    <col width="16" customWidth="1" min="8" max="8"/>
    <col width="28" customWidth="1" min="9" max="9"/>
    <col width="38" customWidth="1" min="10" max="10"/>
    <col width="24" customWidth="1" min="11" max="11"/>
    <col width="18" customWidth="1" min="12" max="12"/>
    <col width="15" customWidth="1" min="13" max="13"/>
    <col width="12" customWidth="1" min="14" max="14"/>
    <col width="15" customWidth="1" min="15" max="15"/>
    <col width="16" customWidth="1" min="16" max="16"/>
    <col width="16" customWidth="1" min="17" max="17"/>
    <col width="14" customWidth="1" min="18" max="18"/>
    <col width="12" customWidth="1" min="19" max="19"/>
    <col width="12" customWidth="1" min="20" max="20"/>
    <col width="16" customWidth="1" min="21" max="21"/>
    <col width="22" customWidth="1" min="22" max="22"/>
    <col width="14" customWidth="1" min="23" max="23"/>
    <col width="30" customWidth="1" min="24" max="24"/>
    <col width="15" customWidth="1" min="25" max="25"/>
    <col width="12" customWidth="1" min="26" max="26"/>
    <col width="20" customWidth="1" min="27" max="27"/>
    <col width="27" customWidth="1" min="28" max="28"/>
    <col width="38" customWidth="1" min="29" max="29"/>
  </cols>
  <sheetData>
    <row r="1" ht="34" customHeight="1">
      <c r="A1" s="1" t="inlineStr">
        <is>
          <t>Kepler Dev — Lead Tracker</t>
        </is>
      </c>
    </row>
    <row r="2" ht="22" customHeight="1">
      <c r="A2" s="2" t="inlineStr">
        <is>
          <t>One row per company, job, or opportunity</t>
        </is>
      </c>
    </row>
    <row r="4">
      <c r="A4" s="16" t="inlineStr">
        <is>
          <t>Enter facts in white/yellow cells. Score each opportunity 0–2; Total, Recommendation, and Weighted Pipeline calculate automatically.</t>
        </is>
      </c>
    </row>
    <row r="5" ht="34" customHeight="1">
      <c r="A5" s="10" t="inlineStr">
        <is>
          <t>Lead ID</t>
        </is>
      </c>
      <c r="B5" s="10" t="inlineStr">
        <is>
          <t>Created Date</t>
        </is>
      </c>
      <c r="C5" s="10" t="inlineStr">
        <is>
          <t>Company / Opportunity</t>
        </is>
      </c>
      <c r="D5" s="10" t="inlineStr">
        <is>
          <t>Contact Name</t>
        </is>
      </c>
      <c r="E5" s="10" t="inlineStr">
        <is>
          <t>Role</t>
        </is>
      </c>
      <c r="F5" s="10" t="inlineStr">
        <is>
          <t>Country</t>
        </is>
      </c>
      <c r="G5" s="10" t="inlineStr">
        <is>
          <t>Sector</t>
        </is>
      </c>
      <c r="H5" s="10" t="inlineStr">
        <is>
          <t>Channel</t>
        </is>
      </c>
      <c r="I5" s="10" t="inlineStr">
        <is>
          <t>Source URL</t>
        </is>
      </c>
      <c r="J5" s="10" t="inlineStr">
        <is>
          <t>Problem Hypothesis</t>
        </is>
      </c>
      <c r="K5" s="10" t="inlineStr">
        <is>
          <t>Relevant Offer</t>
        </is>
      </c>
      <c r="L5" s="10" t="inlineStr">
        <is>
          <t>Estimated Value USD</t>
        </is>
      </c>
      <c r="M5" s="10" t="inlineStr">
        <is>
          <t>Capability Fit (0-2)</t>
        </is>
      </c>
      <c r="N5" s="10" t="inlineStr">
        <is>
          <t>Budget (0-2)</t>
        </is>
      </c>
      <c r="O5" s="10" t="inlineStr">
        <is>
          <t>Scope Clarity (0-2)</t>
        </is>
      </c>
      <c r="P5" s="10" t="inlineStr">
        <is>
          <t>Client History (0-2)</t>
        </is>
      </c>
      <c r="Q5" s="10" t="inlineStr">
        <is>
          <t>Decision Quality (0-2)</t>
        </is>
      </c>
      <c r="R5" s="10" t="inlineStr">
        <is>
          <t>Proof Match (0-2)</t>
        </is>
      </c>
      <c r="S5" s="10" t="inlineStr">
        <is>
          <t>Timing (0-2)</t>
        </is>
      </c>
      <c r="T5" s="10" t="inlineStr">
        <is>
          <t>Total Score</t>
        </is>
      </c>
      <c r="U5" s="10" t="inlineStr">
        <is>
          <t>Recommendation</t>
        </is>
      </c>
      <c r="V5" s="10" t="inlineStr">
        <is>
          <t>Stage</t>
        </is>
      </c>
      <c r="W5" s="10" t="inlineStr">
        <is>
          <t>Last Activity</t>
        </is>
      </c>
      <c r="X5" s="10" t="inlineStr">
        <is>
          <t>Next Action</t>
        </is>
      </c>
      <c r="Y5" s="10" t="inlineStr">
        <is>
          <t>Next Action Date</t>
        </is>
      </c>
      <c r="Z5" s="10" t="inlineStr">
        <is>
          <t>Probability</t>
        </is>
      </c>
      <c r="AA5" s="10" t="inlineStr">
        <is>
          <t>Weighted Pipeline USD</t>
        </is>
      </c>
      <c r="AB5" s="10" t="inlineStr">
        <is>
          <t>Outcome / Loss Reason</t>
        </is>
      </c>
      <c r="AC5" s="10" t="inlineStr">
        <is>
          <t>Notes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8" t="n"/>
      <c r="M6" s="19" t="n"/>
      <c r="N6" s="19" t="n"/>
      <c r="O6" s="19" t="n"/>
      <c r="P6" s="19" t="n"/>
      <c r="Q6" s="19" t="n"/>
      <c r="R6" s="19" t="n"/>
      <c r="S6" s="19" t="n"/>
      <c r="T6" s="20">
        <f>IF(COUNTA(M6:S6)=0,"",SUM(M6:S6))</f>
        <v/>
      </c>
      <c r="U6" s="20">
        <f>IF(T6="","",IF(T6&gt;=10,"Apply/Pursue",IF(T6=9,"Review","Reject")))</f>
        <v/>
      </c>
      <c r="V6" s="17" t="n"/>
      <c r="W6" s="21" t="n"/>
      <c r="X6" s="17" t="n"/>
      <c r="Y6" s="21" t="n"/>
      <c r="Z6" s="22" t="n"/>
      <c r="AA6" s="23">
        <f>IF(OR(L6="",Z6=""),"",L6*Z6)</f>
        <v/>
      </c>
      <c r="AB6" s="17" t="n"/>
      <c r="AC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8" t="n"/>
      <c r="M7" s="19" t="n"/>
      <c r="N7" s="19" t="n"/>
      <c r="O7" s="19" t="n"/>
      <c r="P7" s="19" t="n"/>
      <c r="Q7" s="19" t="n"/>
      <c r="R7" s="19" t="n"/>
      <c r="S7" s="19" t="n"/>
      <c r="T7" s="20">
        <f>IF(COUNTA(M7:S7)=0,"",SUM(M7:S7))</f>
        <v/>
      </c>
      <c r="U7" s="20">
        <f>IF(T7="","",IF(T7&gt;=10,"Apply/Pursue",IF(T7=9,"Review","Reject")))</f>
        <v/>
      </c>
      <c r="V7" s="17" t="n"/>
      <c r="W7" s="21" t="n"/>
      <c r="X7" s="17" t="n"/>
      <c r="Y7" s="21" t="n"/>
      <c r="Z7" s="22" t="n"/>
      <c r="AA7" s="23">
        <f>IF(OR(L7="",Z7=""),"",L7*Z7)</f>
        <v/>
      </c>
      <c r="AB7" s="17" t="n"/>
      <c r="AC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8" t="n"/>
      <c r="M8" s="19" t="n"/>
      <c r="N8" s="19" t="n"/>
      <c r="O8" s="19" t="n"/>
      <c r="P8" s="19" t="n"/>
      <c r="Q8" s="19" t="n"/>
      <c r="R8" s="19" t="n"/>
      <c r="S8" s="19" t="n"/>
      <c r="T8" s="20">
        <f>IF(COUNTA(M8:S8)=0,"",SUM(M8:S8))</f>
        <v/>
      </c>
      <c r="U8" s="20">
        <f>IF(T8="","",IF(T8&gt;=10,"Apply/Pursue",IF(T8=9,"Review","Reject")))</f>
        <v/>
      </c>
      <c r="V8" s="17" t="n"/>
      <c r="W8" s="21" t="n"/>
      <c r="X8" s="17" t="n"/>
      <c r="Y8" s="21" t="n"/>
      <c r="Z8" s="22" t="n"/>
      <c r="AA8" s="23">
        <f>IF(OR(L8="",Z8=""),"",L8*Z8)</f>
        <v/>
      </c>
      <c r="AB8" s="17" t="n"/>
      <c r="A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 t="n"/>
      <c r="M9" s="19" t="n"/>
      <c r="N9" s="19" t="n"/>
      <c r="O9" s="19" t="n"/>
      <c r="P9" s="19" t="n"/>
      <c r="Q9" s="19" t="n"/>
      <c r="R9" s="19" t="n"/>
      <c r="S9" s="19" t="n"/>
      <c r="T9" s="20">
        <f>IF(COUNTA(M9:S9)=0,"",SUM(M9:S9))</f>
        <v/>
      </c>
      <c r="U9" s="20">
        <f>IF(T9="","",IF(T9&gt;=10,"Apply/Pursue",IF(T9=9,"Review","Reject")))</f>
        <v/>
      </c>
      <c r="V9" s="17" t="n"/>
      <c r="W9" s="21" t="n"/>
      <c r="X9" s="17" t="n"/>
      <c r="Y9" s="21" t="n"/>
      <c r="Z9" s="22" t="n"/>
      <c r="AA9" s="23">
        <f>IF(OR(L9="",Z9=""),"",L9*Z9)</f>
        <v/>
      </c>
      <c r="AB9" s="17" t="n"/>
      <c r="A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  <c r="M10" s="19" t="n"/>
      <c r="N10" s="19" t="n"/>
      <c r="O10" s="19" t="n"/>
      <c r="P10" s="19" t="n"/>
      <c r="Q10" s="19" t="n"/>
      <c r="R10" s="19" t="n"/>
      <c r="S10" s="19" t="n"/>
      <c r="T10" s="20">
        <f>IF(COUNTA(M10:S10)=0,"",SUM(M10:S10))</f>
        <v/>
      </c>
      <c r="U10" s="20">
        <f>IF(T10="","",IF(T10&gt;=10,"Apply/Pursue",IF(T10=9,"Review","Reject")))</f>
        <v/>
      </c>
      <c r="V10" s="17" t="n"/>
      <c r="W10" s="21" t="n"/>
      <c r="X10" s="17" t="n"/>
      <c r="Y10" s="21" t="n"/>
      <c r="Z10" s="22" t="n"/>
      <c r="AA10" s="23">
        <f>IF(OR(L10="",Z10=""),"",L10*Z10)</f>
        <v/>
      </c>
      <c r="AB10" s="17" t="n"/>
      <c r="A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8" t="n"/>
      <c r="M11" s="19" t="n"/>
      <c r="N11" s="19" t="n"/>
      <c r="O11" s="19" t="n"/>
      <c r="P11" s="19" t="n"/>
      <c r="Q11" s="19" t="n"/>
      <c r="R11" s="19" t="n"/>
      <c r="S11" s="19" t="n"/>
      <c r="T11" s="20">
        <f>IF(COUNTA(M11:S11)=0,"",SUM(M11:S11))</f>
        <v/>
      </c>
      <c r="U11" s="20">
        <f>IF(T11="","",IF(T11&gt;=10,"Apply/Pursue",IF(T11=9,"Review","Reject")))</f>
        <v/>
      </c>
      <c r="V11" s="17" t="n"/>
      <c r="W11" s="21" t="n"/>
      <c r="X11" s="17" t="n"/>
      <c r="Y11" s="21" t="n"/>
      <c r="Z11" s="22" t="n"/>
      <c r="AA11" s="23">
        <f>IF(OR(L11="",Z11=""),"",L11*Z11)</f>
        <v/>
      </c>
      <c r="AB11" s="17" t="n"/>
      <c r="A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 t="n"/>
      <c r="M12" s="19" t="n"/>
      <c r="N12" s="19" t="n"/>
      <c r="O12" s="19" t="n"/>
      <c r="P12" s="19" t="n"/>
      <c r="Q12" s="19" t="n"/>
      <c r="R12" s="19" t="n"/>
      <c r="S12" s="19" t="n"/>
      <c r="T12" s="20">
        <f>IF(COUNTA(M12:S12)=0,"",SUM(M12:S12))</f>
        <v/>
      </c>
      <c r="U12" s="20">
        <f>IF(T12="","",IF(T12&gt;=10,"Apply/Pursue",IF(T12=9,"Review","Reject")))</f>
        <v/>
      </c>
      <c r="V12" s="17" t="n"/>
      <c r="W12" s="21" t="n"/>
      <c r="X12" s="17" t="n"/>
      <c r="Y12" s="21" t="n"/>
      <c r="Z12" s="22" t="n"/>
      <c r="AA12" s="23">
        <f>IF(OR(L12="",Z12=""),"",L12*Z12)</f>
        <v/>
      </c>
      <c r="AB12" s="17" t="n"/>
      <c r="A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8" t="n"/>
      <c r="M13" s="19" t="n"/>
      <c r="N13" s="19" t="n"/>
      <c r="O13" s="19" t="n"/>
      <c r="P13" s="19" t="n"/>
      <c r="Q13" s="19" t="n"/>
      <c r="R13" s="19" t="n"/>
      <c r="S13" s="19" t="n"/>
      <c r="T13" s="20">
        <f>IF(COUNTA(M13:S13)=0,"",SUM(M13:S13))</f>
        <v/>
      </c>
      <c r="U13" s="20">
        <f>IF(T13="","",IF(T13&gt;=10,"Apply/Pursue",IF(T13=9,"Review","Reject")))</f>
        <v/>
      </c>
      <c r="V13" s="17" t="n"/>
      <c r="W13" s="21" t="n"/>
      <c r="X13" s="17" t="n"/>
      <c r="Y13" s="21" t="n"/>
      <c r="Z13" s="22" t="n"/>
      <c r="AA13" s="23">
        <f>IF(OR(L13="",Z13=""),"",L13*Z13)</f>
        <v/>
      </c>
      <c r="AB13" s="17" t="n"/>
      <c r="A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  <c r="M14" s="19" t="n"/>
      <c r="N14" s="19" t="n"/>
      <c r="O14" s="19" t="n"/>
      <c r="P14" s="19" t="n"/>
      <c r="Q14" s="19" t="n"/>
      <c r="R14" s="19" t="n"/>
      <c r="S14" s="19" t="n"/>
      <c r="T14" s="20">
        <f>IF(COUNTA(M14:S14)=0,"",SUM(M14:S14))</f>
        <v/>
      </c>
      <c r="U14" s="20">
        <f>IF(T14="","",IF(T14&gt;=10,"Apply/Pursue",IF(T14=9,"Review","Reject")))</f>
        <v/>
      </c>
      <c r="V14" s="17" t="n"/>
      <c r="W14" s="21" t="n"/>
      <c r="X14" s="17" t="n"/>
      <c r="Y14" s="21" t="n"/>
      <c r="Z14" s="22" t="n"/>
      <c r="AA14" s="23">
        <f>IF(OR(L14="",Z14=""),"",L14*Z14)</f>
        <v/>
      </c>
      <c r="AB14" s="17" t="n"/>
      <c r="A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  <c r="M15" s="19" t="n"/>
      <c r="N15" s="19" t="n"/>
      <c r="O15" s="19" t="n"/>
      <c r="P15" s="19" t="n"/>
      <c r="Q15" s="19" t="n"/>
      <c r="R15" s="19" t="n"/>
      <c r="S15" s="19" t="n"/>
      <c r="T15" s="20">
        <f>IF(COUNTA(M15:S15)=0,"",SUM(M15:S15))</f>
        <v/>
      </c>
      <c r="U15" s="20">
        <f>IF(T15="","",IF(T15&gt;=10,"Apply/Pursue",IF(T15=9,"Review","Reject")))</f>
        <v/>
      </c>
      <c r="V15" s="17" t="n"/>
      <c r="W15" s="21" t="n"/>
      <c r="X15" s="17" t="n"/>
      <c r="Y15" s="21" t="n"/>
      <c r="Z15" s="22" t="n"/>
      <c r="AA15" s="23">
        <f>IF(OR(L15="",Z15=""),"",L15*Z15)</f>
        <v/>
      </c>
      <c r="AB15" s="17" t="n"/>
      <c r="A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n"/>
      <c r="M16" s="19" t="n"/>
      <c r="N16" s="19" t="n"/>
      <c r="O16" s="19" t="n"/>
      <c r="P16" s="19" t="n"/>
      <c r="Q16" s="19" t="n"/>
      <c r="R16" s="19" t="n"/>
      <c r="S16" s="19" t="n"/>
      <c r="T16" s="20">
        <f>IF(COUNTA(M16:S16)=0,"",SUM(M16:S16))</f>
        <v/>
      </c>
      <c r="U16" s="20">
        <f>IF(T16="","",IF(T16&gt;=10,"Apply/Pursue",IF(T16=9,"Review","Reject")))</f>
        <v/>
      </c>
      <c r="V16" s="17" t="n"/>
      <c r="W16" s="21" t="n"/>
      <c r="X16" s="17" t="n"/>
      <c r="Y16" s="21" t="n"/>
      <c r="Z16" s="22" t="n"/>
      <c r="AA16" s="23">
        <f>IF(OR(L16="",Z16=""),"",L16*Z16)</f>
        <v/>
      </c>
      <c r="AB16" s="17" t="n"/>
      <c r="A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8" t="n"/>
      <c r="M17" s="19" t="n"/>
      <c r="N17" s="19" t="n"/>
      <c r="O17" s="19" t="n"/>
      <c r="P17" s="19" t="n"/>
      <c r="Q17" s="19" t="n"/>
      <c r="R17" s="19" t="n"/>
      <c r="S17" s="19" t="n"/>
      <c r="T17" s="20">
        <f>IF(COUNTA(M17:S17)=0,"",SUM(M17:S17))</f>
        <v/>
      </c>
      <c r="U17" s="20">
        <f>IF(T17="","",IF(T17&gt;=10,"Apply/Pursue",IF(T17=9,"Review","Reject")))</f>
        <v/>
      </c>
      <c r="V17" s="17" t="n"/>
      <c r="W17" s="21" t="n"/>
      <c r="X17" s="17" t="n"/>
      <c r="Y17" s="21" t="n"/>
      <c r="Z17" s="22" t="n"/>
      <c r="AA17" s="23">
        <f>IF(OR(L17="",Z17=""),"",L17*Z17)</f>
        <v/>
      </c>
      <c r="AB17" s="17" t="n"/>
      <c r="A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  <c r="M18" s="19" t="n"/>
      <c r="N18" s="19" t="n"/>
      <c r="O18" s="19" t="n"/>
      <c r="P18" s="19" t="n"/>
      <c r="Q18" s="19" t="n"/>
      <c r="R18" s="19" t="n"/>
      <c r="S18" s="19" t="n"/>
      <c r="T18" s="20">
        <f>IF(COUNTA(M18:S18)=0,"",SUM(M18:S18))</f>
        <v/>
      </c>
      <c r="U18" s="20">
        <f>IF(T18="","",IF(T18&gt;=10,"Apply/Pursue",IF(T18=9,"Review","Reject")))</f>
        <v/>
      </c>
      <c r="V18" s="17" t="n"/>
      <c r="W18" s="21" t="n"/>
      <c r="X18" s="17" t="n"/>
      <c r="Y18" s="21" t="n"/>
      <c r="Z18" s="22" t="n"/>
      <c r="AA18" s="23">
        <f>IF(OR(L18="",Z18=""),"",L18*Z18)</f>
        <v/>
      </c>
      <c r="AB18" s="17" t="n"/>
      <c r="A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n"/>
      <c r="M19" s="19" t="n"/>
      <c r="N19" s="19" t="n"/>
      <c r="O19" s="19" t="n"/>
      <c r="P19" s="19" t="n"/>
      <c r="Q19" s="19" t="n"/>
      <c r="R19" s="19" t="n"/>
      <c r="S19" s="19" t="n"/>
      <c r="T19" s="20">
        <f>IF(COUNTA(M19:S19)=0,"",SUM(M19:S19))</f>
        <v/>
      </c>
      <c r="U19" s="20">
        <f>IF(T19="","",IF(T19&gt;=10,"Apply/Pursue",IF(T19=9,"Review","Reject")))</f>
        <v/>
      </c>
      <c r="V19" s="17" t="n"/>
      <c r="W19" s="21" t="n"/>
      <c r="X19" s="17" t="n"/>
      <c r="Y19" s="21" t="n"/>
      <c r="Z19" s="22" t="n"/>
      <c r="AA19" s="23">
        <f>IF(OR(L19="",Z19=""),"",L19*Z19)</f>
        <v/>
      </c>
      <c r="AB19" s="17" t="n"/>
      <c r="A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n"/>
      <c r="M20" s="19" t="n"/>
      <c r="N20" s="19" t="n"/>
      <c r="O20" s="19" t="n"/>
      <c r="P20" s="19" t="n"/>
      <c r="Q20" s="19" t="n"/>
      <c r="R20" s="19" t="n"/>
      <c r="S20" s="19" t="n"/>
      <c r="T20" s="20">
        <f>IF(COUNTA(M20:S20)=0,"",SUM(M20:S20))</f>
        <v/>
      </c>
      <c r="U20" s="20">
        <f>IF(T20="","",IF(T20&gt;=10,"Apply/Pursue",IF(T20=9,"Review","Reject")))</f>
        <v/>
      </c>
      <c r="V20" s="17" t="n"/>
      <c r="W20" s="21" t="n"/>
      <c r="X20" s="17" t="n"/>
      <c r="Y20" s="21" t="n"/>
      <c r="Z20" s="22" t="n"/>
      <c r="AA20" s="23">
        <f>IF(OR(L20="",Z20=""),"",L20*Z20)</f>
        <v/>
      </c>
      <c r="AB20" s="17" t="n"/>
      <c r="A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 t="n"/>
      <c r="M21" s="19" t="n"/>
      <c r="N21" s="19" t="n"/>
      <c r="O21" s="19" t="n"/>
      <c r="P21" s="19" t="n"/>
      <c r="Q21" s="19" t="n"/>
      <c r="R21" s="19" t="n"/>
      <c r="S21" s="19" t="n"/>
      <c r="T21" s="20">
        <f>IF(COUNTA(M21:S21)=0,"",SUM(M21:S21))</f>
        <v/>
      </c>
      <c r="U21" s="20">
        <f>IF(T21="","",IF(T21&gt;=10,"Apply/Pursue",IF(T21=9,"Review","Reject")))</f>
        <v/>
      </c>
      <c r="V21" s="17" t="n"/>
      <c r="W21" s="21" t="n"/>
      <c r="X21" s="17" t="n"/>
      <c r="Y21" s="21" t="n"/>
      <c r="Z21" s="22" t="n"/>
      <c r="AA21" s="23">
        <f>IF(OR(L21="",Z21=""),"",L21*Z21)</f>
        <v/>
      </c>
      <c r="AB21" s="17" t="n"/>
      <c r="A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8" t="n"/>
      <c r="M22" s="19" t="n"/>
      <c r="N22" s="19" t="n"/>
      <c r="O22" s="19" t="n"/>
      <c r="P22" s="19" t="n"/>
      <c r="Q22" s="19" t="n"/>
      <c r="R22" s="19" t="n"/>
      <c r="S22" s="19" t="n"/>
      <c r="T22" s="20">
        <f>IF(COUNTA(M22:S22)=0,"",SUM(M22:S22))</f>
        <v/>
      </c>
      <c r="U22" s="20">
        <f>IF(T22="","",IF(T22&gt;=10,"Apply/Pursue",IF(T22=9,"Review","Reject")))</f>
        <v/>
      </c>
      <c r="V22" s="17" t="n"/>
      <c r="W22" s="21" t="n"/>
      <c r="X22" s="17" t="n"/>
      <c r="Y22" s="21" t="n"/>
      <c r="Z22" s="22" t="n"/>
      <c r="AA22" s="23">
        <f>IF(OR(L22="",Z22=""),"",L22*Z22)</f>
        <v/>
      </c>
      <c r="AB22" s="17" t="n"/>
      <c r="A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8" t="n"/>
      <c r="M23" s="19" t="n"/>
      <c r="N23" s="19" t="n"/>
      <c r="O23" s="19" t="n"/>
      <c r="P23" s="19" t="n"/>
      <c r="Q23" s="19" t="n"/>
      <c r="R23" s="19" t="n"/>
      <c r="S23" s="19" t="n"/>
      <c r="T23" s="20">
        <f>IF(COUNTA(M23:S23)=0,"",SUM(M23:S23))</f>
        <v/>
      </c>
      <c r="U23" s="20">
        <f>IF(T23="","",IF(T23&gt;=10,"Apply/Pursue",IF(T23=9,"Review","Reject")))</f>
        <v/>
      </c>
      <c r="V23" s="17" t="n"/>
      <c r="W23" s="21" t="n"/>
      <c r="X23" s="17" t="n"/>
      <c r="Y23" s="21" t="n"/>
      <c r="Z23" s="22" t="n"/>
      <c r="AA23" s="23">
        <f>IF(OR(L23="",Z23=""),"",L23*Z23)</f>
        <v/>
      </c>
      <c r="AB23" s="17" t="n"/>
      <c r="A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n"/>
      <c r="M24" s="19" t="n"/>
      <c r="N24" s="19" t="n"/>
      <c r="O24" s="19" t="n"/>
      <c r="P24" s="19" t="n"/>
      <c r="Q24" s="19" t="n"/>
      <c r="R24" s="19" t="n"/>
      <c r="S24" s="19" t="n"/>
      <c r="T24" s="20">
        <f>IF(COUNTA(M24:S24)=0,"",SUM(M24:S24))</f>
        <v/>
      </c>
      <c r="U24" s="20">
        <f>IF(T24="","",IF(T24&gt;=10,"Apply/Pursue",IF(T24=9,"Review","Reject")))</f>
        <v/>
      </c>
      <c r="V24" s="17" t="n"/>
      <c r="W24" s="21" t="n"/>
      <c r="X24" s="17" t="n"/>
      <c r="Y24" s="21" t="n"/>
      <c r="Z24" s="22" t="n"/>
      <c r="AA24" s="23">
        <f>IF(OR(L24="",Z24=""),"",L24*Z24)</f>
        <v/>
      </c>
      <c r="AB24" s="17" t="n"/>
      <c r="A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n"/>
      <c r="M25" s="19" t="n"/>
      <c r="N25" s="19" t="n"/>
      <c r="O25" s="19" t="n"/>
      <c r="P25" s="19" t="n"/>
      <c r="Q25" s="19" t="n"/>
      <c r="R25" s="19" t="n"/>
      <c r="S25" s="19" t="n"/>
      <c r="T25" s="20">
        <f>IF(COUNTA(M25:S25)=0,"",SUM(M25:S25))</f>
        <v/>
      </c>
      <c r="U25" s="20">
        <f>IF(T25="","",IF(T25&gt;=10,"Apply/Pursue",IF(T25=9,"Review","Reject")))</f>
        <v/>
      </c>
      <c r="V25" s="17" t="n"/>
      <c r="W25" s="21" t="n"/>
      <c r="X25" s="17" t="n"/>
      <c r="Y25" s="21" t="n"/>
      <c r="Z25" s="22" t="n"/>
      <c r="AA25" s="23">
        <f>IF(OR(L25="",Z25=""),"",L25*Z25)</f>
        <v/>
      </c>
      <c r="AB25" s="17" t="n"/>
      <c r="A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8" t="n"/>
      <c r="M26" s="19" t="n"/>
      <c r="N26" s="19" t="n"/>
      <c r="O26" s="19" t="n"/>
      <c r="P26" s="19" t="n"/>
      <c r="Q26" s="19" t="n"/>
      <c r="R26" s="19" t="n"/>
      <c r="S26" s="19" t="n"/>
      <c r="T26" s="20">
        <f>IF(COUNTA(M26:S26)=0,"",SUM(M26:S26))</f>
        <v/>
      </c>
      <c r="U26" s="20">
        <f>IF(T26="","",IF(T26&gt;=10,"Apply/Pursue",IF(T26=9,"Review","Reject")))</f>
        <v/>
      </c>
      <c r="V26" s="17" t="n"/>
      <c r="W26" s="21" t="n"/>
      <c r="X26" s="17" t="n"/>
      <c r="Y26" s="21" t="n"/>
      <c r="Z26" s="22" t="n"/>
      <c r="AA26" s="23">
        <f>IF(OR(L26="",Z26=""),"",L26*Z26)</f>
        <v/>
      </c>
      <c r="AB26" s="17" t="n"/>
      <c r="A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 t="n"/>
      <c r="M27" s="19" t="n"/>
      <c r="N27" s="19" t="n"/>
      <c r="O27" s="19" t="n"/>
      <c r="P27" s="19" t="n"/>
      <c r="Q27" s="19" t="n"/>
      <c r="R27" s="19" t="n"/>
      <c r="S27" s="19" t="n"/>
      <c r="T27" s="20">
        <f>IF(COUNTA(M27:S27)=0,"",SUM(M27:S27))</f>
        <v/>
      </c>
      <c r="U27" s="20">
        <f>IF(T27="","",IF(T27&gt;=10,"Apply/Pursue",IF(T27=9,"Review","Reject")))</f>
        <v/>
      </c>
      <c r="V27" s="17" t="n"/>
      <c r="W27" s="21" t="n"/>
      <c r="X27" s="17" t="n"/>
      <c r="Y27" s="21" t="n"/>
      <c r="Z27" s="22" t="n"/>
      <c r="AA27" s="23">
        <f>IF(OR(L27="",Z27=""),"",L27*Z27)</f>
        <v/>
      </c>
      <c r="AB27" s="17" t="n"/>
      <c r="A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/>
      <c r="M28" s="19" t="n"/>
      <c r="N28" s="19" t="n"/>
      <c r="O28" s="19" t="n"/>
      <c r="P28" s="19" t="n"/>
      <c r="Q28" s="19" t="n"/>
      <c r="R28" s="19" t="n"/>
      <c r="S28" s="19" t="n"/>
      <c r="T28" s="20">
        <f>IF(COUNTA(M28:S28)=0,"",SUM(M28:S28))</f>
        <v/>
      </c>
      <c r="U28" s="20">
        <f>IF(T28="","",IF(T28&gt;=10,"Apply/Pursue",IF(T28=9,"Review","Reject")))</f>
        <v/>
      </c>
      <c r="V28" s="17" t="n"/>
      <c r="W28" s="21" t="n"/>
      <c r="X28" s="17" t="n"/>
      <c r="Y28" s="21" t="n"/>
      <c r="Z28" s="22" t="n"/>
      <c r="AA28" s="23">
        <f>IF(OR(L28="",Z28=""),"",L28*Z28)</f>
        <v/>
      </c>
      <c r="AB28" s="17" t="n"/>
      <c r="A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 t="n"/>
      <c r="M29" s="19" t="n"/>
      <c r="N29" s="19" t="n"/>
      <c r="O29" s="19" t="n"/>
      <c r="P29" s="19" t="n"/>
      <c r="Q29" s="19" t="n"/>
      <c r="R29" s="19" t="n"/>
      <c r="S29" s="19" t="n"/>
      <c r="T29" s="20">
        <f>IF(COUNTA(M29:S29)=0,"",SUM(M29:S29))</f>
        <v/>
      </c>
      <c r="U29" s="20">
        <f>IF(T29="","",IF(T29&gt;=10,"Apply/Pursue",IF(T29=9,"Review","Reject")))</f>
        <v/>
      </c>
      <c r="V29" s="17" t="n"/>
      <c r="W29" s="21" t="n"/>
      <c r="X29" s="17" t="n"/>
      <c r="Y29" s="21" t="n"/>
      <c r="Z29" s="22" t="n"/>
      <c r="AA29" s="23">
        <f>IF(OR(L29="",Z29=""),"",L29*Z29)</f>
        <v/>
      </c>
      <c r="AB29" s="17" t="n"/>
      <c r="A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  <c r="M30" s="19" t="n"/>
      <c r="N30" s="19" t="n"/>
      <c r="O30" s="19" t="n"/>
      <c r="P30" s="19" t="n"/>
      <c r="Q30" s="19" t="n"/>
      <c r="R30" s="19" t="n"/>
      <c r="S30" s="19" t="n"/>
      <c r="T30" s="20">
        <f>IF(COUNTA(M30:S30)=0,"",SUM(M30:S30))</f>
        <v/>
      </c>
      <c r="U30" s="20">
        <f>IF(T30="","",IF(T30&gt;=10,"Apply/Pursue",IF(T30=9,"Review","Reject")))</f>
        <v/>
      </c>
      <c r="V30" s="17" t="n"/>
      <c r="W30" s="21" t="n"/>
      <c r="X30" s="17" t="n"/>
      <c r="Y30" s="21" t="n"/>
      <c r="Z30" s="22" t="n"/>
      <c r="AA30" s="23">
        <f>IF(OR(L30="",Z30=""),"",L30*Z30)</f>
        <v/>
      </c>
      <c r="AB30" s="17" t="n"/>
      <c r="A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8" t="n"/>
      <c r="M31" s="19" t="n"/>
      <c r="N31" s="19" t="n"/>
      <c r="O31" s="19" t="n"/>
      <c r="P31" s="19" t="n"/>
      <c r="Q31" s="19" t="n"/>
      <c r="R31" s="19" t="n"/>
      <c r="S31" s="19" t="n"/>
      <c r="T31" s="20">
        <f>IF(COUNTA(M31:S31)=0,"",SUM(M31:S31))</f>
        <v/>
      </c>
      <c r="U31" s="20">
        <f>IF(T31="","",IF(T31&gt;=10,"Apply/Pursue",IF(T31=9,"Review","Reject")))</f>
        <v/>
      </c>
      <c r="V31" s="17" t="n"/>
      <c r="W31" s="21" t="n"/>
      <c r="X31" s="17" t="n"/>
      <c r="Y31" s="21" t="n"/>
      <c r="Z31" s="22" t="n"/>
      <c r="AA31" s="23">
        <f>IF(OR(L31="",Z31=""),"",L31*Z31)</f>
        <v/>
      </c>
      <c r="AB31" s="17" t="n"/>
      <c r="A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n"/>
      <c r="M32" s="19" t="n"/>
      <c r="N32" s="19" t="n"/>
      <c r="O32" s="19" t="n"/>
      <c r="P32" s="19" t="n"/>
      <c r="Q32" s="19" t="n"/>
      <c r="R32" s="19" t="n"/>
      <c r="S32" s="19" t="n"/>
      <c r="T32" s="20">
        <f>IF(COUNTA(M32:S32)=0,"",SUM(M32:S32))</f>
        <v/>
      </c>
      <c r="U32" s="20">
        <f>IF(T32="","",IF(T32&gt;=10,"Apply/Pursue",IF(T32=9,"Review","Reject")))</f>
        <v/>
      </c>
      <c r="V32" s="17" t="n"/>
      <c r="W32" s="21" t="n"/>
      <c r="X32" s="17" t="n"/>
      <c r="Y32" s="21" t="n"/>
      <c r="Z32" s="22" t="n"/>
      <c r="AA32" s="23">
        <f>IF(OR(L32="",Z32=""),"",L32*Z32)</f>
        <v/>
      </c>
      <c r="AB32" s="17" t="n"/>
      <c r="A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n"/>
      <c r="M33" s="19" t="n"/>
      <c r="N33" s="19" t="n"/>
      <c r="O33" s="19" t="n"/>
      <c r="P33" s="19" t="n"/>
      <c r="Q33" s="19" t="n"/>
      <c r="R33" s="19" t="n"/>
      <c r="S33" s="19" t="n"/>
      <c r="T33" s="20">
        <f>IF(COUNTA(M33:S33)=0,"",SUM(M33:S33))</f>
        <v/>
      </c>
      <c r="U33" s="20">
        <f>IF(T33="","",IF(T33&gt;=10,"Apply/Pursue",IF(T33=9,"Review","Reject")))</f>
        <v/>
      </c>
      <c r="V33" s="17" t="n"/>
      <c r="W33" s="21" t="n"/>
      <c r="X33" s="17" t="n"/>
      <c r="Y33" s="21" t="n"/>
      <c r="Z33" s="22" t="n"/>
      <c r="AA33" s="23">
        <f>IF(OR(L33="",Z33=""),"",L33*Z33)</f>
        <v/>
      </c>
      <c r="AB33" s="17" t="n"/>
      <c r="A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8" t="n"/>
      <c r="M34" s="19" t="n"/>
      <c r="N34" s="19" t="n"/>
      <c r="O34" s="19" t="n"/>
      <c r="P34" s="19" t="n"/>
      <c r="Q34" s="19" t="n"/>
      <c r="R34" s="19" t="n"/>
      <c r="S34" s="19" t="n"/>
      <c r="T34" s="20">
        <f>IF(COUNTA(M34:S34)=0,"",SUM(M34:S34))</f>
        <v/>
      </c>
      <c r="U34" s="20">
        <f>IF(T34="","",IF(T34&gt;=10,"Apply/Pursue",IF(T34=9,"Review","Reject")))</f>
        <v/>
      </c>
      <c r="V34" s="17" t="n"/>
      <c r="W34" s="21" t="n"/>
      <c r="X34" s="17" t="n"/>
      <c r="Y34" s="21" t="n"/>
      <c r="Z34" s="22" t="n"/>
      <c r="AA34" s="23">
        <f>IF(OR(L34="",Z34=""),"",L34*Z34)</f>
        <v/>
      </c>
      <c r="AB34" s="17" t="n"/>
      <c r="A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8" t="n"/>
      <c r="M35" s="19" t="n"/>
      <c r="N35" s="19" t="n"/>
      <c r="O35" s="19" t="n"/>
      <c r="P35" s="19" t="n"/>
      <c r="Q35" s="19" t="n"/>
      <c r="R35" s="19" t="n"/>
      <c r="S35" s="19" t="n"/>
      <c r="T35" s="20">
        <f>IF(COUNTA(M35:S35)=0,"",SUM(M35:S35))</f>
        <v/>
      </c>
      <c r="U35" s="20">
        <f>IF(T35="","",IF(T35&gt;=10,"Apply/Pursue",IF(T35=9,"Review","Reject")))</f>
        <v/>
      </c>
      <c r="V35" s="17" t="n"/>
      <c r="W35" s="21" t="n"/>
      <c r="X35" s="17" t="n"/>
      <c r="Y35" s="21" t="n"/>
      <c r="Z35" s="22" t="n"/>
      <c r="AA35" s="23">
        <f>IF(OR(L35="",Z35=""),"",L35*Z35)</f>
        <v/>
      </c>
      <c r="AB35" s="17" t="n"/>
      <c r="A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8" t="n"/>
      <c r="M36" s="19" t="n"/>
      <c r="N36" s="19" t="n"/>
      <c r="O36" s="19" t="n"/>
      <c r="P36" s="19" t="n"/>
      <c r="Q36" s="19" t="n"/>
      <c r="R36" s="19" t="n"/>
      <c r="S36" s="19" t="n"/>
      <c r="T36" s="20">
        <f>IF(COUNTA(M36:S36)=0,"",SUM(M36:S36))</f>
        <v/>
      </c>
      <c r="U36" s="20">
        <f>IF(T36="","",IF(T36&gt;=10,"Apply/Pursue",IF(T36=9,"Review","Reject")))</f>
        <v/>
      </c>
      <c r="V36" s="17" t="n"/>
      <c r="W36" s="21" t="n"/>
      <c r="X36" s="17" t="n"/>
      <c r="Y36" s="21" t="n"/>
      <c r="Z36" s="22" t="n"/>
      <c r="AA36" s="23">
        <f>IF(OR(L36="",Z36=""),"",L36*Z36)</f>
        <v/>
      </c>
      <c r="AB36" s="17" t="n"/>
      <c r="A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8" t="n"/>
      <c r="M37" s="19" t="n"/>
      <c r="N37" s="19" t="n"/>
      <c r="O37" s="19" t="n"/>
      <c r="P37" s="19" t="n"/>
      <c r="Q37" s="19" t="n"/>
      <c r="R37" s="19" t="n"/>
      <c r="S37" s="19" t="n"/>
      <c r="T37" s="20">
        <f>IF(COUNTA(M37:S37)=0,"",SUM(M37:S37))</f>
        <v/>
      </c>
      <c r="U37" s="20">
        <f>IF(T37="","",IF(T37&gt;=10,"Apply/Pursue",IF(T37=9,"Review","Reject")))</f>
        <v/>
      </c>
      <c r="V37" s="17" t="n"/>
      <c r="W37" s="21" t="n"/>
      <c r="X37" s="17" t="n"/>
      <c r="Y37" s="21" t="n"/>
      <c r="Z37" s="22" t="n"/>
      <c r="AA37" s="23">
        <f>IF(OR(L37="",Z37=""),"",L37*Z37)</f>
        <v/>
      </c>
      <c r="AB37" s="17" t="n"/>
      <c r="A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8" t="n"/>
      <c r="M38" s="19" t="n"/>
      <c r="N38" s="19" t="n"/>
      <c r="O38" s="19" t="n"/>
      <c r="P38" s="19" t="n"/>
      <c r="Q38" s="19" t="n"/>
      <c r="R38" s="19" t="n"/>
      <c r="S38" s="19" t="n"/>
      <c r="T38" s="20">
        <f>IF(COUNTA(M38:S38)=0,"",SUM(M38:S38))</f>
        <v/>
      </c>
      <c r="U38" s="20">
        <f>IF(T38="","",IF(T38&gt;=10,"Apply/Pursue",IF(T38=9,"Review","Reject")))</f>
        <v/>
      </c>
      <c r="V38" s="17" t="n"/>
      <c r="W38" s="21" t="n"/>
      <c r="X38" s="17" t="n"/>
      <c r="Y38" s="21" t="n"/>
      <c r="Z38" s="22" t="n"/>
      <c r="AA38" s="23">
        <f>IF(OR(L38="",Z38=""),"",L38*Z38)</f>
        <v/>
      </c>
      <c r="AB38" s="17" t="n"/>
      <c r="A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8" t="n"/>
      <c r="M39" s="19" t="n"/>
      <c r="N39" s="19" t="n"/>
      <c r="O39" s="19" t="n"/>
      <c r="P39" s="19" t="n"/>
      <c r="Q39" s="19" t="n"/>
      <c r="R39" s="19" t="n"/>
      <c r="S39" s="19" t="n"/>
      <c r="T39" s="20">
        <f>IF(COUNTA(M39:S39)=0,"",SUM(M39:S39))</f>
        <v/>
      </c>
      <c r="U39" s="20">
        <f>IF(T39="","",IF(T39&gt;=10,"Apply/Pursue",IF(T39=9,"Review","Reject")))</f>
        <v/>
      </c>
      <c r="V39" s="17" t="n"/>
      <c r="W39" s="21" t="n"/>
      <c r="X39" s="17" t="n"/>
      <c r="Y39" s="21" t="n"/>
      <c r="Z39" s="22" t="n"/>
      <c r="AA39" s="23">
        <f>IF(OR(L39="",Z39=""),"",L39*Z39)</f>
        <v/>
      </c>
      <c r="AB39" s="17" t="n"/>
      <c r="A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8" t="n"/>
      <c r="M40" s="19" t="n"/>
      <c r="N40" s="19" t="n"/>
      <c r="O40" s="19" t="n"/>
      <c r="P40" s="19" t="n"/>
      <c r="Q40" s="19" t="n"/>
      <c r="R40" s="19" t="n"/>
      <c r="S40" s="19" t="n"/>
      <c r="T40" s="20">
        <f>IF(COUNTA(M40:S40)=0,"",SUM(M40:S40))</f>
        <v/>
      </c>
      <c r="U40" s="20">
        <f>IF(T40="","",IF(T40&gt;=10,"Apply/Pursue",IF(T40=9,"Review","Reject")))</f>
        <v/>
      </c>
      <c r="V40" s="17" t="n"/>
      <c r="W40" s="21" t="n"/>
      <c r="X40" s="17" t="n"/>
      <c r="Y40" s="21" t="n"/>
      <c r="Z40" s="22" t="n"/>
      <c r="AA40" s="23">
        <f>IF(OR(L40="",Z40=""),"",L40*Z40)</f>
        <v/>
      </c>
      <c r="AB40" s="17" t="n"/>
      <c r="A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8" t="n"/>
      <c r="M41" s="19" t="n"/>
      <c r="N41" s="19" t="n"/>
      <c r="O41" s="19" t="n"/>
      <c r="P41" s="19" t="n"/>
      <c r="Q41" s="19" t="n"/>
      <c r="R41" s="19" t="n"/>
      <c r="S41" s="19" t="n"/>
      <c r="T41" s="20">
        <f>IF(COUNTA(M41:S41)=0,"",SUM(M41:S41))</f>
        <v/>
      </c>
      <c r="U41" s="20">
        <f>IF(T41="","",IF(T41&gt;=10,"Apply/Pursue",IF(T41=9,"Review","Reject")))</f>
        <v/>
      </c>
      <c r="V41" s="17" t="n"/>
      <c r="W41" s="21" t="n"/>
      <c r="X41" s="17" t="n"/>
      <c r="Y41" s="21" t="n"/>
      <c r="Z41" s="22" t="n"/>
      <c r="AA41" s="23">
        <f>IF(OR(L41="",Z41=""),"",L41*Z41)</f>
        <v/>
      </c>
      <c r="AB41" s="17" t="n"/>
      <c r="A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8" t="n"/>
      <c r="M42" s="19" t="n"/>
      <c r="N42" s="19" t="n"/>
      <c r="O42" s="19" t="n"/>
      <c r="P42" s="19" t="n"/>
      <c r="Q42" s="19" t="n"/>
      <c r="R42" s="19" t="n"/>
      <c r="S42" s="19" t="n"/>
      <c r="T42" s="20">
        <f>IF(COUNTA(M42:S42)=0,"",SUM(M42:S42))</f>
        <v/>
      </c>
      <c r="U42" s="20">
        <f>IF(T42="","",IF(T42&gt;=10,"Apply/Pursue",IF(T42=9,"Review","Reject")))</f>
        <v/>
      </c>
      <c r="V42" s="17" t="n"/>
      <c r="W42" s="21" t="n"/>
      <c r="X42" s="17" t="n"/>
      <c r="Y42" s="21" t="n"/>
      <c r="Z42" s="22" t="n"/>
      <c r="AA42" s="23">
        <f>IF(OR(L42="",Z42=""),"",L42*Z42)</f>
        <v/>
      </c>
      <c r="AB42" s="17" t="n"/>
      <c r="A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8" t="n"/>
      <c r="M43" s="19" t="n"/>
      <c r="N43" s="19" t="n"/>
      <c r="O43" s="19" t="n"/>
      <c r="P43" s="19" t="n"/>
      <c r="Q43" s="19" t="n"/>
      <c r="R43" s="19" t="n"/>
      <c r="S43" s="19" t="n"/>
      <c r="T43" s="20">
        <f>IF(COUNTA(M43:S43)=0,"",SUM(M43:S43))</f>
        <v/>
      </c>
      <c r="U43" s="20">
        <f>IF(T43="","",IF(T43&gt;=10,"Apply/Pursue",IF(T43=9,"Review","Reject")))</f>
        <v/>
      </c>
      <c r="V43" s="17" t="n"/>
      <c r="W43" s="21" t="n"/>
      <c r="X43" s="17" t="n"/>
      <c r="Y43" s="21" t="n"/>
      <c r="Z43" s="22" t="n"/>
      <c r="AA43" s="23">
        <f>IF(OR(L43="",Z43=""),"",L43*Z43)</f>
        <v/>
      </c>
      <c r="AB43" s="17" t="n"/>
      <c r="A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8" t="n"/>
      <c r="M44" s="19" t="n"/>
      <c r="N44" s="19" t="n"/>
      <c r="O44" s="19" t="n"/>
      <c r="P44" s="19" t="n"/>
      <c r="Q44" s="19" t="n"/>
      <c r="R44" s="19" t="n"/>
      <c r="S44" s="19" t="n"/>
      <c r="T44" s="20">
        <f>IF(COUNTA(M44:S44)=0,"",SUM(M44:S44))</f>
        <v/>
      </c>
      <c r="U44" s="20">
        <f>IF(T44="","",IF(T44&gt;=10,"Apply/Pursue",IF(T44=9,"Review","Reject")))</f>
        <v/>
      </c>
      <c r="V44" s="17" t="n"/>
      <c r="W44" s="21" t="n"/>
      <c r="X44" s="17" t="n"/>
      <c r="Y44" s="21" t="n"/>
      <c r="Z44" s="22" t="n"/>
      <c r="AA44" s="23">
        <f>IF(OR(L44="",Z44=""),"",L44*Z44)</f>
        <v/>
      </c>
      <c r="AB44" s="17" t="n"/>
      <c r="A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8" t="n"/>
      <c r="M45" s="19" t="n"/>
      <c r="N45" s="19" t="n"/>
      <c r="O45" s="19" t="n"/>
      <c r="P45" s="19" t="n"/>
      <c r="Q45" s="19" t="n"/>
      <c r="R45" s="19" t="n"/>
      <c r="S45" s="19" t="n"/>
      <c r="T45" s="20">
        <f>IF(COUNTA(M45:S45)=0,"",SUM(M45:S45))</f>
        <v/>
      </c>
      <c r="U45" s="20">
        <f>IF(T45="","",IF(T45&gt;=10,"Apply/Pursue",IF(T45=9,"Review","Reject")))</f>
        <v/>
      </c>
      <c r="V45" s="17" t="n"/>
      <c r="W45" s="21" t="n"/>
      <c r="X45" s="17" t="n"/>
      <c r="Y45" s="21" t="n"/>
      <c r="Z45" s="22" t="n"/>
      <c r="AA45" s="23">
        <f>IF(OR(L45="",Z45=""),"",L45*Z45)</f>
        <v/>
      </c>
      <c r="AB45" s="17" t="n"/>
      <c r="A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8" t="n"/>
      <c r="M46" s="19" t="n"/>
      <c r="N46" s="19" t="n"/>
      <c r="O46" s="19" t="n"/>
      <c r="P46" s="19" t="n"/>
      <c r="Q46" s="19" t="n"/>
      <c r="R46" s="19" t="n"/>
      <c r="S46" s="19" t="n"/>
      <c r="T46" s="20">
        <f>IF(COUNTA(M46:S46)=0,"",SUM(M46:S46))</f>
        <v/>
      </c>
      <c r="U46" s="20">
        <f>IF(T46="","",IF(T46&gt;=10,"Apply/Pursue",IF(T46=9,"Review","Reject")))</f>
        <v/>
      </c>
      <c r="V46" s="17" t="n"/>
      <c r="W46" s="21" t="n"/>
      <c r="X46" s="17" t="n"/>
      <c r="Y46" s="21" t="n"/>
      <c r="Z46" s="22" t="n"/>
      <c r="AA46" s="23">
        <f>IF(OR(L46="",Z46=""),"",L46*Z46)</f>
        <v/>
      </c>
      <c r="AB46" s="17" t="n"/>
      <c r="A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8" t="n"/>
      <c r="M47" s="19" t="n"/>
      <c r="N47" s="19" t="n"/>
      <c r="O47" s="19" t="n"/>
      <c r="P47" s="19" t="n"/>
      <c r="Q47" s="19" t="n"/>
      <c r="R47" s="19" t="n"/>
      <c r="S47" s="19" t="n"/>
      <c r="T47" s="20">
        <f>IF(COUNTA(M47:S47)=0,"",SUM(M47:S47))</f>
        <v/>
      </c>
      <c r="U47" s="20">
        <f>IF(T47="","",IF(T47&gt;=10,"Apply/Pursue",IF(T47=9,"Review","Reject")))</f>
        <v/>
      </c>
      <c r="V47" s="17" t="n"/>
      <c r="W47" s="21" t="n"/>
      <c r="X47" s="17" t="n"/>
      <c r="Y47" s="21" t="n"/>
      <c r="Z47" s="22" t="n"/>
      <c r="AA47" s="23">
        <f>IF(OR(L47="",Z47=""),"",L47*Z47)</f>
        <v/>
      </c>
      <c r="AB47" s="17" t="n"/>
      <c r="A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8" t="n"/>
      <c r="M48" s="19" t="n"/>
      <c r="N48" s="19" t="n"/>
      <c r="O48" s="19" t="n"/>
      <c r="P48" s="19" t="n"/>
      <c r="Q48" s="19" t="n"/>
      <c r="R48" s="19" t="n"/>
      <c r="S48" s="19" t="n"/>
      <c r="T48" s="20">
        <f>IF(COUNTA(M48:S48)=0,"",SUM(M48:S48))</f>
        <v/>
      </c>
      <c r="U48" s="20">
        <f>IF(T48="","",IF(T48&gt;=10,"Apply/Pursue",IF(T48=9,"Review","Reject")))</f>
        <v/>
      </c>
      <c r="V48" s="17" t="n"/>
      <c r="W48" s="21" t="n"/>
      <c r="X48" s="17" t="n"/>
      <c r="Y48" s="21" t="n"/>
      <c r="Z48" s="22" t="n"/>
      <c r="AA48" s="23">
        <f>IF(OR(L48="",Z48=""),"",L48*Z48)</f>
        <v/>
      </c>
      <c r="AB48" s="17" t="n"/>
      <c r="A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8" t="n"/>
      <c r="M49" s="19" t="n"/>
      <c r="N49" s="19" t="n"/>
      <c r="O49" s="19" t="n"/>
      <c r="P49" s="19" t="n"/>
      <c r="Q49" s="19" t="n"/>
      <c r="R49" s="19" t="n"/>
      <c r="S49" s="19" t="n"/>
      <c r="T49" s="20">
        <f>IF(COUNTA(M49:S49)=0,"",SUM(M49:S49))</f>
        <v/>
      </c>
      <c r="U49" s="20">
        <f>IF(T49="","",IF(T49&gt;=10,"Apply/Pursue",IF(T49=9,"Review","Reject")))</f>
        <v/>
      </c>
      <c r="V49" s="17" t="n"/>
      <c r="W49" s="21" t="n"/>
      <c r="X49" s="17" t="n"/>
      <c r="Y49" s="21" t="n"/>
      <c r="Z49" s="22" t="n"/>
      <c r="AA49" s="23">
        <f>IF(OR(L49="",Z49=""),"",L49*Z49)</f>
        <v/>
      </c>
      <c r="AB49" s="17" t="n"/>
      <c r="A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8" t="n"/>
      <c r="M50" s="19" t="n"/>
      <c r="N50" s="19" t="n"/>
      <c r="O50" s="19" t="n"/>
      <c r="P50" s="19" t="n"/>
      <c r="Q50" s="19" t="n"/>
      <c r="R50" s="19" t="n"/>
      <c r="S50" s="19" t="n"/>
      <c r="T50" s="20">
        <f>IF(COUNTA(M50:S50)=0,"",SUM(M50:S50))</f>
        <v/>
      </c>
      <c r="U50" s="20">
        <f>IF(T50="","",IF(T50&gt;=10,"Apply/Pursue",IF(T50=9,"Review","Reject")))</f>
        <v/>
      </c>
      <c r="V50" s="17" t="n"/>
      <c r="W50" s="21" t="n"/>
      <c r="X50" s="17" t="n"/>
      <c r="Y50" s="21" t="n"/>
      <c r="Z50" s="22" t="n"/>
      <c r="AA50" s="23">
        <f>IF(OR(L50="",Z50=""),"",L50*Z50)</f>
        <v/>
      </c>
      <c r="AB50" s="17" t="n"/>
      <c r="A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8" t="n"/>
      <c r="M51" s="19" t="n"/>
      <c r="N51" s="19" t="n"/>
      <c r="O51" s="19" t="n"/>
      <c r="P51" s="19" t="n"/>
      <c r="Q51" s="19" t="n"/>
      <c r="R51" s="19" t="n"/>
      <c r="S51" s="19" t="n"/>
      <c r="T51" s="20">
        <f>IF(COUNTA(M51:S51)=0,"",SUM(M51:S51))</f>
        <v/>
      </c>
      <c r="U51" s="20">
        <f>IF(T51="","",IF(T51&gt;=10,"Apply/Pursue",IF(T51=9,"Review","Reject")))</f>
        <v/>
      </c>
      <c r="V51" s="17" t="n"/>
      <c r="W51" s="21" t="n"/>
      <c r="X51" s="17" t="n"/>
      <c r="Y51" s="21" t="n"/>
      <c r="Z51" s="22" t="n"/>
      <c r="AA51" s="23">
        <f>IF(OR(L51="",Z51=""),"",L51*Z51)</f>
        <v/>
      </c>
      <c r="AB51" s="17" t="n"/>
      <c r="A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8" t="n"/>
      <c r="M52" s="19" t="n"/>
      <c r="N52" s="19" t="n"/>
      <c r="O52" s="19" t="n"/>
      <c r="P52" s="19" t="n"/>
      <c r="Q52" s="19" t="n"/>
      <c r="R52" s="19" t="n"/>
      <c r="S52" s="19" t="n"/>
      <c r="T52" s="20">
        <f>IF(COUNTA(M52:S52)=0,"",SUM(M52:S52))</f>
        <v/>
      </c>
      <c r="U52" s="20">
        <f>IF(T52="","",IF(T52&gt;=10,"Apply/Pursue",IF(T52=9,"Review","Reject")))</f>
        <v/>
      </c>
      <c r="V52" s="17" t="n"/>
      <c r="W52" s="21" t="n"/>
      <c r="X52" s="17" t="n"/>
      <c r="Y52" s="21" t="n"/>
      <c r="Z52" s="22" t="n"/>
      <c r="AA52" s="23">
        <f>IF(OR(L52="",Z52=""),"",L52*Z52)</f>
        <v/>
      </c>
      <c r="AB52" s="17" t="n"/>
      <c r="A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8" t="n"/>
      <c r="M53" s="19" t="n"/>
      <c r="N53" s="19" t="n"/>
      <c r="O53" s="19" t="n"/>
      <c r="P53" s="19" t="n"/>
      <c r="Q53" s="19" t="n"/>
      <c r="R53" s="19" t="n"/>
      <c r="S53" s="19" t="n"/>
      <c r="T53" s="20">
        <f>IF(COUNTA(M53:S53)=0,"",SUM(M53:S53))</f>
        <v/>
      </c>
      <c r="U53" s="20">
        <f>IF(T53="","",IF(T53&gt;=10,"Apply/Pursue",IF(T53=9,"Review","Reject")))</f>
        <v/>
      </c>
      <c r="V53" s="17" t="n"/>
      <c r="W53" s="21" t="n"/>
      <c r="X53" s="17" t="n"/>
      <c r="Y53" s="21" t="n"/>
      <c r="Z53" s="22" t="n"/>
      <c r="AA53" s="23">
        <f>IF(OR(L53="",Z53=""),"",L53*Z53)</f>
        <v/>
      </c>
      <c r="AB53" s="17" t="n"/>
      <c r="A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8" t="n"/>
      <c r="M54" s="19" t="n"/>
      <c r="N54" s="19" t="n"/>
      <c r="O54" s="19" t="n"/>
      <c r="P54" s="19" t="n"/>
      <c r="Q54" s="19" t="n"/>
      <c r="R54" s="19" t="n"/>
      <c r="S54" s="19" t="n"/>
      <c r="T54" s="20">
        <f>IF(COUNTA(M54:S54)=0,"",SUM(M54:S54))</f>
        <v/>
      </c>
      <c r="U54" s="20">
        <f>IF(T54="","",IF(T54&gt;=10,"Apply/Pursue",IF(T54=9,"Review","Reject")))</f>
        <v/>
      </c>
      <c r="V54" s="17" t="n"/>
      <c r="W54" s="21" t="n"/>
      <c r="X54" s="17" t="n"/>
      <c r="Y54" s="21" t="n"/>
      <c r="Z54" s="22" t="n"/>
      <c r="AA54" s="23">
        <f>IF(OR(L54="",Z54=""),"",L54*Z54)</f>
        <v/>
      </c>
      <c r="AB54" s="17" t="n"/>
      <c r="A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8" t="n"/>
      <c r="M55" s="19" t="n"/>
      <c r="N55" s="19" t="n"/>
      <c r="O55" s="19" t="n"/>
      <c r="P55" s="19" t="n"/>
      <c r="Q55" s="19" t="n"/>
      <c r="R55" s="19" t="n"/>
      <c r="S55" s="19" t="n"/>
      <c r="T55" s="20">
        <f>IF(COUNTA(M55:S55)=0,"",SUM(M55:S55))</f>
        <v/>
      </c>
      <c r="U55" s="20">
        <f>IF(T55="","",IF(T55&gt;=10,"Apply/Pursue",IF(T55=9,"Review","Reject")))</f>
        <v/>
      </c>
      <c r="V55" s="17" t="n"/>
      <c r="W55" s="21" t="n"/>
      <c r="X55" s="17" t="n"/>
      <c r="Y55" s="21" t="n"/>
      <c r="Z55" s="22" t="n"/>
      <c r="AA55" s="23">
        <f>IF(OR(L55="",Z55=""),"",L55*Z55)</f>
        <v/>
      </c>
      <c r="AB55" s="17" t="n"/>
      <c r="A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8" t="n"/>
      <c r="M56" s="19" t="n"/>
      <c r="N56" s="19" t="n"/>
      <c r="O56" s="19" t="n"/>
      <c r="P56" s="19" t="n"/>
      <c r="Q56" s="19" t="n"/>
      <c r="R56" s="19" t="n"/>
      <c r="S56" s="19" t="n"/>
      <c r="T56" s="20">
        <f>IF(COUNTA(M56:S56)=0,"",SUM(M56:S56))</f>
        <v/>
      </c>
      <c r="U56" s="20">
        <f>IF(T56="","",IF(T56&gt;=10,"Apply/Pursue",IF(T56=9,"Review","Reject")))</f>
        <v/>
      </c>
      <c r="V56" s="17" t="n"/>
      <c r="W56" s="21" t="n"/>
      <c r="X56" s="17" t="n"/>
      <c r="Y56" s="21" t="n"/>
      <c r="Z56" s="22" t="n"/>
      <c r="AA56" s="23">
        <f>IF(OR(L56="",Z56=""),"",L56*Z56)</f>
        <v/>
      </c>
      <c r="AB56" s="17" t="n"/>
      <c r="A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8" t="n"/>
      <c r="M57" s="19" t="n"/>
      <c r="N57" s="19" t="n"/>
      <c r="O57" s="19" t="n"/>
      <c r="P57" s="19" t="n"/>
      <c r="Q57" s="19" t="n"/>
      <c r="R57" s="19" t="n"/>
      <c r="S57" s="19" t="n"/>
      <c r="T57" s="20">
        <f>IF(COUNTA(M57:S57)=0,"",SUM(M57:S57))</f>
        <v/>
      </c>
      <c r="U57" s="20">
        <f>IF(T57="","",IF(T57&gt;=10,"Apply/Pursue",IF(T57=9,"Review","Reject")))</f>
        <v/>
      </c>
      <c r="V57" s="17" t="n"/>
      <c r="W57" s="21" t="n"/>
      <c r="X57" s="17" t="n"/>
      <c r="Y57" s="21" t="n"/>
      <c r="Z57" s="22" t="n"/>
      <c r="AA57" s="23">
        <f>IF(OR(L57="",Z57=""),"",L57*Z57)</f>
        <v/>
      </c>
      <c r="AB57" s="17" t="n"/>
      <c r="A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8" t="n"/>
      <c r="M58" s="19" t="n"/>
      <c r="N58" s="19" t="n"/>
      <c r="O58" s="19" t="n"/>
      <c r="P58" s="19" t="n"/>
      <c r="Q58" s="19" t="n"/>
      <c r="R58" s="19" t="n"/>
      <c r="S58" s="19" t="n"/>
      <c r="T58" s="20">
        <f>IF(COUNTA(M58:S58)=0,"",SUM(M58:S58))</f>
        <v/>
      </c>
      <c r="U58" s="20">
        <f>IF(T58="","",IF(T58&gt;=10,"Apply/Pursue",IF(T58=9,"Review","Reject")))</f>
        <v/>
      </c>
      <c r="V58" s="17" t="n"/>
      <c r="W58" s="21" t="n"/>
      <c r="X58" s="17" t="n"/>
      <c r="Y58" s="21" t="n"/>
      <c r="Z58" s="22" t="n"/>
      <c r="AA58" s="23">
        <f>IF(OR(L58="",Z58=""),"",L58*Z58)</f>
        <v/>
      </c>
      <c r="AB58" s="17" t="n"/>
      <c r="A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8" t="n"/>
      <c r="M59" s="19" t="n"/>
      <c r="N59" s="19" t="n"/>
      <c r="O59" s="19" t="n"/>
      <c r="P59" s="19" t="n"/>
      <c r="Q59" s="19" t="n"/>
      <c r="R59" s="19" t="n"/>
      <c r="S59" s="19" t="n"/>
      <c r="T59" s="20">
        <f>IF(COUNTA(M59:S59)=0,"",SUM(M59:S59))</f>
        <v/>
      </c>
      <c r="U59" s="20">
        <f>IF(T59="","",IF(T59&gt;=10,"Apply/Pursue",IF(T59=9,"Review","Reject")))</f>
        <v/>
      </c>
      <c r="V59" s="17" t="n"/>
      <c r="W59" s="21" t="n"/>
      <c r="X59" s="17" t="n"/>
      <c r="Y59" s="21" t="n"/>
      <c r="Z59" s="22" t="n"/>
      <c r="AA59" s="23">
        <f>IF(OR(L59="",Z59=""),"",L59*Z59)</f>
        <v/>
      </c>
      <c r="AB59" s="17" t="n"/>
      <c r="A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8" t="n"/>
      <c r="M60" s="19" t="n"/>
      <c r="N60" s="19" t="n"/>
      <c r="O60" s="19" t="n"/>
      <c r="P60" s="19" t="n"/>
      <c r="Q60" s="19" t="n"/>
      <c r="R60" s="19" t="n"/>
      <c r="S60" s="19" t="n"/>
      <c r="T60" s="20">
        <f>IF(COUNTA(M60:S60)=0,"",SUM(M60:S60))</f>
        <v/>
      </c>
      <c r="U60" s="20">
        <f>IF(T60="","",IF(T60&gt;=10,"Apply/Pursue",IF(T60=9,"Review","Reject")))</f>
        <v/>
      </c>
      <c r="V60" s="17" t="n"/>
      <c r="W60" s="21" t="n"/>
      <c r="X60" s="17" t="n"/>
      <c r="Y60" s="21" t="n"/>
      <c r="Z60" s="22" t="n"/>
      <c r="AA60" s="23">
        <f>IF(OR(L60="",Z60=""),"",L60*Z60)</f>
        <v/>
      </c>
      <c r="AB60" s="17" t="n"/>
      <c r="A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8" t="n"/>
      <c r="M61" s="19" t="n"/>
      <c r="N61" s="19" t="n"/>
      <c r="O61" s="19" t="n"/>
      <c r="P61" s="19" t="n"/>
      <c r="Q61" s="19" t="n"/>
      <c r="R61" s="19" t="n"/>
      <c r="S61" s="19" t="n"/>
      <c r="T61" s="20">
        <f>IF(COUNTA(M61:S61)=0,"",SUM(M61:S61))</f>
        <v/>
      </c>
      <c r="U61" s="20">
        <f>IF(T61="","",IF(T61&gt;=10,"Apply/Pursue",IF(T61=9,"Review","Reject")))</f>
        <v/>
      </c>
      <c r="V61" s="17" t="n"/>
      <c r="W61" s="21" t="n"/>
      <c r="X61" s="17" t="n"/>
      <c r="Y61" s="21" t="n"/>
      <c r="Z61" s="22" t="n"/>
      <c r="AA61" s="23">
        <f>IF(OR(L61="",Z61=""),"",L61*Z61)</f>
        <v/>
      </c>
      <c r="AB61" s="17" t="n"/>
      <c r="A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8" t="n"/>
      <c r="M62" s="19" t="n"/>
      <c r="N62" s="19" t="n"/>
      <c r="O62" s="19" t="n"/>
      <c r="P62" s="19" t="n"/>
      <c r="Q62" s="19" t="n"/>
      <c r="R62" s="19" t="n"/>
      <c r="S62" s="19" t="n"/>
      <c r="T62" s="20">
        <f>IF(COUNTA(M62:S62)=0,"",SUM(M62:S62))</f>
        <v/>
      </c>
      <c r="U62" s="20">
        <f>IF(T62="","",IF(T62&gt;=10,"Apply/Pursue",IF(T62=9,"Review","Reject")))</f>
        <v/>
      </c>
      <c r="V62" s="17" t="n"/>
      <c r="W62" s="21" t="n"/>
      <c r="X62" s="17" t="n"/>
      <c r="Y62" s="21" t="n"/>
      <c r="Z62" s="22" t="n"/>
      <c r="AA62" s="23">
        <f>IF(OR(L62="",Z62=""),"",L62*Z62)</f>
        <v/>
      </c>
      <c r="AB62" s="17" t="n"/>
      <c r="A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8" t="n"/>
      <c r="M63" s="19" t="n"/>
      <c r="N63" s="19" t="n"/>
      <c r="O63" s="19" t="n"/>
      <c r="P63" s="19" t="n"/>
      <c r="Q63" s="19" t="n"/>
      <c r="R63" s="19" t="n"/>
      <c r="S63" s="19" t="n"/>
      <c r="T63" s="20">
        <f>IF(COUNTA(M63:S63)=0,"",SUM(M63:S63))</f>
        <v/>
      </c>
      <c r="U63" s="20">
        <f>IF(T63="","",IF(T63&gt;=10,"Apply/Pursue",IF(T63=9,"Review","Reject")))</f>
        <v/>
      </c>
      <c r="V63" s="17" t="n"/>
      <c r="W63" s="21" t="n"/>
      <c r="X63" s="17" t="n"/>
      <c r="Y63" s="21" t="n"/>
      <c r="Z63" s="22" t="n"/>
      <c r="AA63" s="23">
        <f>IF(OR(L63="",Z63=""),"",L63*Z63)</f>
        <v/>
      </c>
      <c r="AB63" s="17" t="n"/>
      <c r="A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8" t="n"/>
      <c r="M64" s="19" t="n"/>
      <c r="N64" s="19" t="n"/>
      <c r="O64" s="19" t="n"/>
      <c r="P64" s="19" t="n"/>
      <c r="Q64" s="19" t="n"/>
      <c r="R64" s="19" t="n"/>
      <c r="S64" s="19" t="n"/>
      <c r="T64" s="20">
        <f>IF(COUNTA(M64:S64)=0,"",SUM(M64:S64))</f>
        <v/>
      </c>
      <c r="U64" s="20">
        <f>IF(T64="","",IF(T64&gt;=10,"Apply/Pursue",IF(T64=9,"Review","Reject")))</f>
        <v/>
      </c>
      <c r="V64" s="17" t="n"/>
      <c r="W64" s="21" t="n"/>
      <c r="X64" s="17" t="n"/>
      <c r="Y64" s="21" t="n"/>
      <c r="Z64" s="22" t="n"/>
      <c r="AA64" s="23">
        <f>IF(OR(L64="",Z64=""),"",L64*Z64)</f>
        <v/>
      </c>
      <c r="AB64" s="17" t="n"/>
      <c r="A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8" t="n"/>
      <c r="M65" s="19" t="n"/>
      <c r="N65" s="19" t="n"/>
      <c r="O65" s="19" t="n"/>
      <c r="P65" s="19" t="n"/>
      <c r="Q65" s="19" t="n"/>
      <c r="R65" s="19" t="n"/>
      <c r="S65" s="19" t="n"/>
      <c r="T65" s="20">
        <f>IF(COUNTA(M65:S65)=0,"",SUM(M65:S65))</f>
        <v/>
      </c>
      <c r="U65" s="20">
        <f>IF(T65="","",IF(T65&gt;=10,"Apply/Pursue",IF(T65=9,"Review","Reject")))</f>
        <v/>
      </c>
      <c r="V65" s="17" t="n"/>
      <c r="W65" s="21" t="n"/>
      <c r="X65" s="17" t="n"/>
      <c r="Y65" s="21" t="n"/>
      <c r="Z65" s="22" t="n"/>
      <c r="AA65" s="23">
        <f>IF(OR(L65="",Z65=""),"",L65*Z65)</f>
        <v/>
      </c>
      <c r="AB65" s="17" t="n"/>
      <c r="A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8" t="n"/>
      <c r="M66" s="19" t="n"/>
      <c r="N66" s="19" t="n"/>
      <c r="O66" s="19" t="n"/>
      <c r="P66" s="19" t="n"/>
      <c r="Q66" s="19" t="n"/>
      <c r="R66" s="19" t="n"/>
      <c r="S66" s="19" t="n"/>
      <c r="T66" s="20">
        <f>IF(COUNTA(M66:S66)=0,"",SUM(M66:S66))</f>
        <v/>
      </c>
      <c r="U66" s="20">
        <f>IF(T66="","",IF(T66&gt;=10,"Apply/Pursue",IF(T66=9,"Review","Reject")))</f>
        <v/>
      </c>
      <c r="V66" s="17" t="n"/>
      <c r="W66" s="21" t="n"/>
      <c r="X66" s="17" t="n"/>
      <c r="Y66" s="21" t="n"/>
      <c r="Z66" s="22" t="n"/>
      <c r="AA66" s="23">
        <f>IF(OR(L66="",Z66=""),"",L66*Z66)</f>
        <v/>
      </c>
      <c r="AB66" s="17" t="n"/>
      <c r="A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8" t="n"/>
      <c r="M67" s="19" t="n"/>
      <c r="N67" s="19" t="n"/>
      <c r="O67" s="19" t="n"/>
      <c r="P67" s="19" t="n"/>
      <c r="Q67" s="19" t="n"/>
      <c r="R67" s="19" t="n"/>
      <c r="S67" s="19" t="n"/>
      <c r="T67" s="20">
        <f>IF(COUNTA(M67:S67)=0,"",SUM(M67:S67))</f>
        <v/>
      </c>
      <c r="U67" s="20">
        <f>IF(T67="","",IF(T67&gt;=10,"Apply/Pursue",IF(T67=9,"Review","Reject")))</f>
        <v/>
      </c>
      <c r="V67" s="17" t="n"/>
      <c r="W67" s="21" t="n"/>
      <c r="X67" s="17" t="n"/>
      <c r="Y67" s="21" t="n"/>
      <c r="Z67" s="22" t="n"/>
      <c r="AA67" s="23">
        <f>IF(OR(L67="",Z67=""),"",L67*Z67)</f>
        <v/>
      </c>
      <c r="AB67" s="17" t="n"/>
      <c r="A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8" t="n"/>
      <c r="M68" s="19" t="n"/>
      <c r="N68" s="19" t="n"/>
      <c r="O68" s="19" t="n"/>
      <c r="P68" s="19" t="n"/>
      <c r="Q68" s="19" t="n"/>
      <c r="R68" s="19" t="n"/>
      <c r="S68" s="19" t="n"/>
      <c r="T68" s="20">
        <f>IF(COUNTA(M68:S68)=0,"",SUM(M68:S68))</f>
        <v/>
      </c>
      <c r="U68" s="20">
        <f>IF(T68="","",IF(T68&gt;=10,"Apply/Pursue",IF(T68=9,"Review","Reject")))</f>
        <v/>
      </c>
      <c r="V68" s="17" t="n"/>
      <c r="W68" s="21" t="n"/>
      <c r="X68" s="17" t="n"/>
      <c r="Y68" s="21" t="n"/>
      <c r="Z68" s="22" t="n"/>
      <c r="AA68" s="23">
        <f>IF(OR(L68="",Z68=""),"",L68*Z68)</f>
        <v/>
      </c>
      <c r="AB68" s="17" t="n"/>
      <c r="A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8" t="n"/>
      <c r="M69" s="19" t="n"/>
      <c r="N69" s="19" t="n"/>
      <c r="O69" s="19" t="n"/>
      <c r="P69" s="19" t="n"/>
      <c r="Q69" s="19" t="n"/>
      <c r="R69" s="19" t="n"/>
      <c r="S69" s="19" t="n"/>
      <c r="T69" s="20">
        <f>IF(COUNTA(M69:S69)=0,"",SUM(M69:S69))</f>
        <v/>
      </c>
      <c r="U69" s="20">
        <f>IF(T69="","",IF(T69&gt;=10,"Apply/Pursue",IF(T69=9,"Review","Reject")))</f>
        <v/>
      </c>
      <c r="V69" s="17" t="n"/>
      <c r="W69" s="21" t="n"/>
      <c r="X69" s="17" t="n"/>
      <c r="Y69" s="21" t="n"/>
      <c r="Z69" s="22" t="n"/>
      <c r="AA69" s="23">
        <f>IF(OR(L69="",Z69=""),"",L69*Z69)</f>
        <v/>
      </c>
      <c r="AB69" s="17" t="n"/>
      <c r="A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8" t="n"/>
      <c r="M70" s="19" t="n"/>
      <c r="N70" s="19" t="n"/>
      <c r="O70" s="19" t="n"/>
      <c r="P70" s="19" t="n"/>
      <c r="Q70" s="19" t="n"/>
      <c r="R70" s="19" t="n"/>
      <c r="S70" s="19" t="n"/>
      <c r="T70" s="20">
        <f>IF(COUNTA(M70:S70)=0,"",SUM(M70:S70))</f>
        <v/>
      </c>
      <c r="U70" s="20">
        <f>IF(T70="","",IF(T70&gt;=10,"Apply/Pursue",IF(T70=9,"Review","Reject")))</f>
        <v/>
      </c>
      <c r="V70" s="17" t="n"/>
      <c r="W70" s="21" t="n"/>
      <c r="X70" s="17" t="n"/>
      <c r="Y70" s="21" t="n"/>
      <c r="Z70" s="22" t="n"/>
      <c r="AA70" s="23">
        <f>IF(OR(L70="",Z70=""),"",L70*Z70)</f>
        <v/>
      </c>
      <c r="AB70" s="17" t="n"/>
      <c r="A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8" t="n"/>
      <c r="M71" s="19" t="n"/>
      <c r="N71" s="19" t="n"/>
      <c r="O71" s="19" t="n"/>
      <c r="P71" s="19" t="n"/>
      <c r="Q71" s="19" t="n"/>
      <c r="R71" s="19" t="n"/>
      <c r="S71" s="19" t="n"/>
      <c r="T71" s="20">
        <f>IF(COUNTA(M71:S71)=0,"",SUM(M71:S71))</f>
        <v/>
      </c>
      <c r="U71" s="20">
        <f>IF(T71="","",IF(T71&gt;=10,"Apply/Pursue",IF(T71=9,"Review","Reject")))</f>
        <v/>
      </c>
      <c r="V71" s="17" t="n"/>
      <c r="W71" s="21" t="n"/>
      <c r="X71" s="17" t="n"/>
      <c r="Y71" s="21" t="n"/>
      <c r="Z71" s="22" t="n"/>
      <c r="AA71" s="23">
        <f>IF(OR(L71="",Z71=""),"",L71*Z71)</f>
        <v/>
      </c>
      <c r="AB71" s="17" t="n"/>
      <c r="A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8" t="n"/>
      <c r="M72" s="19" t="n"/>
      <c r="N72" s="19" t="n"/>
      <c r="O72" s="19" t="n"/>
      <c r="P72" s="19" t="n"/>
      <c r="Q72" s="19" t="n"/>
      <c r="R72" s="19" t="n"/>
      <c r="S72" s="19" t="n"/>
      <c r="T72" s="20">
        <f>IF(COUNTA(M72:S72)=0,"",SUM(M72:S72))</f>
        <v/>
      </c>
      <c r="U72" s="20">
        <f>IF(T72="","",IF(T72&gt;=10,"Apply/Pursue",IF(T72=9,"Review","Reject")))</f>
        <v/>
      </c>
      <c r="V72" s="17" t="n"/>
      <c r="W72" s="21" t="n"/>
      <c r="X72" s="17" t="n"/>
      <c r="Y72" s="21" t="n"/>
      <c r="Z72" s="22" t="n"/>
      <c r="AA72" s="23">
        <f>IF(OR(L72="",Z72=""),"",L72*Z72)</f>
        <v/>
      </c>
      <c r="AB72" s="17" t="n"/>
      <c r="A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8" t="n"/>
      <c r="M73" s="19" t="n"/>
      <c r="N73" s="19" t="n"/>
      <c r="O73" s="19" t="n"/>
      <c r="P73" s="19" t="n"/>
      <c r="Q73" s="19" t="n"/>
      <c r="R73" s="19" t="n"/>
      <c r="S73" s="19" t="n"/>
      <c r="T73" s="20">
        <f>IF(COUNTA(M73:S73)=0,"",SUM(M73:S73))</f>
        <v/>
      </c>
      <c r="U73" s="20">
        <f>IF(T73="","",IF(T73&gt;=10,"Apply/Pursue",IF(T73=9,"Review","Reject")))</f>
        <v/>
      </c>
      <c r="V73" s="17" t="n"/>
      <c r="W73" s="21" t="n"/>
      <c r="X73" s="17" t="n"/>
      <c r="Y73" s="21" t="n"/>
      <c r="Z73" s="22" t="n"/>
      <c r="AA73" s="23">
        <f>IF(OR(L73="",Z73=""),"",L73*Z73)</f>
        <v/>
      </c>
      <c r="AB73" s="17" t="n"/>
      <c r="A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8" t="n"/>
      <c r="M74" s="19" t="n"/>
      <c r="N74" s="19" t="n"/>
      <c r="O74" s="19" t="n"/>
      <c r="P74" s="19" t="n"/>
      <c r="Q74" s="19" t="n"/>
      <c r="R74" s="19" t="n"/>
      <c r="S74" s="19" t="n"/>
      <c r="T74" s="20">
        <f>IF(COUNTA(M74:S74)=0,"",SUM(M74:S74))</f>
        <v/>
      </c>
      <c r="U74" s="20">
        <f>IF(T74="","",IF(T74&gt;=10,"Apply/Pursue",IF(T74=9,"Review","Reject")))</f>
        <v/>
      </c>
      <c r="V74" s="17" t="n"/>
      <c r="W74" s="21" t="n"/>
      <c r="X74" s="17" t="n"/>
      <c r="Y74" s="21" t="n"/>
      <c r="Z74" s="22" t="n"/>
      <c r="AA74" s="23">
        <f>IF(OR(L74="",Z74=""),"",L74*Z74)</f>
        <v/>
      </c>
      <c r="AB74" s="17" t="n"/>
      <c r="A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8" t="n"/>
      <c r="M75" s="19" t="n"/>
      <c r="N75" s="19" t="n"/>
      <c r="O75" s="19" t="n"/>
      <c r="P75" s="19" t="n"/>
      <c r="Q75" s="19" t="n"/>
      <c r="R75" s="19" t="n"/>
      <c r="S75" s="19" t="n"/>
      <c r="T75" s="20">
        <f>IF(COUNTA(M75:S75)=0,"",SUM(M75:S75))</f>
        <v/>
      </c>
      <c r="U75" s="20">
        <f>IF(T75="","",IF(T75&gt;=10,"Apply/Pursue",IF(T75=9,"Review","Reject")))</f>
        <v/>
      </c>
      <c r="V75" s="17" t="n"/>
      <c r="W75" s="21" t="n"/>
      <c r="X75" s="17" t="n"/>
      <c r="Y75" s="21" t="n"/>
      <c r="Z75" s="22" t="n"/>
      <c r="AA75" s="23">
        <f>IF(OR(L75="",Z75=""),"",L75*Z75)</f>
        <v/>
      </c>
      <c r="AB75" s="17" t="n"/>
      <c r="A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8" t="n"/>
      <c r="M76" s="19" t="n"/>
      <c r="N76" s="19" t="n"/>
      <c r="O76" s="19" t="n"/>
      <c r="P76" s="19" t="n"/>
      <c r="Q76" s="19" t="n"/>
      <c r="R76" s="19" t="n"/>
      <c r="S76" s="19" t="n"/>
      <c r="T76" s="20">
        <f>IF(COUNTA(M76:S76)=0,"",SUM(M76:S76))</f>
        <v/>
      </c>
      <c r="U76" s="20">
        <f>IF(T76="","",IF(T76&gt;=10,"Apply/Pursue",IF(T76=9,"Review","Reject")))</f>
        <v/>
      </c>
      <c r="V76" s="17" t="n"/>
      <c r="W76" s="21" t="n"/>
      <c r="X76" s="17" t="n"/>
      <c r="Y76" s="21" t="n"/>
      <c r="Z76" s="22" t="n"/>
      <c r="AA76" s="23">
        <f>IF(OR(L76="",Z76=""),"",L76*Z76)</f>
        <v/>
      </c>
      <c r="AB76" s="17" t="n"/>
      <c r="A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8" t="n"/>
      <c r="M77" s="19" t="n"/>
      <c r="N77" s="19" t="n"/>
      <c r="O77" s="19" t="n"/>
      <c r="P77" s="19" t="n"/>
      <c r="Q77" s="19" t="n"/>
      <c r="R77" s="19" t="n"/>
      <c r="S77" s="19" t="n"/>
      <c r="T77" s="20">
        <f>IF(COUNTA(M77:S77)=0,"",SUM(M77:S77))</f>
        <v/>
      </c>
      <c r="U77" s="20">
        <f>IF(T77="","",IF(T77&gt;=10,"Apply/Pursue",IF(T77=9,"Review","Reject")))</f>
        <v/>
      </c>
      <c r="V77" s="17" t="n"/>
      <c r="W77" s="21" t="n"/>
      <c r="X77" s="17" t="n"/>
      <c r="Y77" s="21" t="n"/>
      <c r="Z77" s="22" t="n"/>
      <c r="AA77" s="23">
        <f>IF(OR(L77="",Z77=""),"",L77*Z77)</f>
        <v/>
      </c>
      <c r="AB77" s="17" t="n"/>
      <c r="A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8" t="n"/>
      <c r="M78" s="19" t="n"/>
      <c r="N78" s="19" t="n"/>
      <c r="O78" s="19" t="n"/>
      <c r="P78" s="19" t="n"/>
      <c r="Q78" s="19" t="n"/>
      <c r="R78" s="19" t="n"/>
      <c r="S78" s="19" t="n"/>
      <c r="T78" s="20">
        <f>IF(COUNTA(M78:S78)=0,"",SUM(M78:S78))</f>
        <v/>
      </c>
      <c r="U78" s="20">
        <f>IF(T78="","",IF(T78&gt;=10,"Apply/Pursue",IF(T78=9,"Review","Reject")))</f>
        <v/>
      </c>
      <c r="V78" s="17" t="n"/>
      <c r="W78" s="21" t="n"/>
      <c r="X78" s="17" t="n"/>
      <c r="Y78" s="21" t="n"/>
      <c r="Z78" s="22" t="n"/>
      <c r="AA78" s="23">
        <f>IF(OR(L78="",Z78=""),"",L78*Z78)</f>
        <v/>
      </c>
      <c r="AB78" s="17" t="n"/>
      <c r="A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8" t="n"/>
      <c r="M79" s="19" t="n"/>
      <c r="N79" s="19" t="n"/>
      <c r="O79" s="19" t="n"/>
      <c r="P79" s="19" t="n"/>
      <c r="Q79" s="19" t="n"/>
      <c r="R79" s="19" t="n"/>
      <c r="S79" s="19" t="n"/>
      <c r="T79" s="20">
        <f>IF(COUNTA(M79:S79)=0,"",SUM(M79:S79))</f>
        <v/>
      </c>
      <c r="U79" s="20">
        <f>IF(T79="","",IF(T79&gt;=10,"Apply/Pursue",IF(T79=9,"Review","Reject")))</f>
        <v/>
      </c>
      <c r="V79" s="17" t="n"/>
      <c r="W79" s="21" t="n"/>
      <c r="X79" s="17" t="n"/>
      <c r="Y79" s="21" t="n"/>
      <c r="Z79" s="22" t="n"/>
      <c r="AA79" s="23">
        <f>IF(OR(L79="",Z79=""),"",L79*Z79)</f>
        <v/>
      </c>
      <c r="AB79" s="17" t="n"/>
      <c r="A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8" t="n"/>
      <c r="M80" s="19" t="n"/>
      <c r="N80" s="19" t="n"/>
      <c r="O80" s="19" t="n"/>
      <c r="P80" s="19" t="n"/>
      <c r="Q80" s="19" t="n"/>
      <c r="R80" s="19" t="n"/>
      <c r="S80" s="19" t="n"/>
      <c r="T80" s="20">
        <f>IF(COUNTA(M80:S80)=0,"",SUM(M80:S80))</f>
        <v/>
      </c>
      <c r="U80" s="20">
        <f>IF(T80="","",IF(T80&gt;=10,"Apply/Pursue",IF(T80=9,"Review","Reject")))</f>
        <v/>
      </c>
      <c r="V80" s="17" t="n"/>
      <c r="W80" s="21" t="n"/>
      <c r="X80" s="17" t="n"/>
      <c r="Y80" s="21" t="n"/>
      <c r="Z80" s="22" t="n"/>
      <c r="AA80" s="23">
        <f>IF(OR(L80="",Z80=""),"",L80*Z80)</f>
        <v/>
      </c>
      <c r="AB80" s="17" t="n"/>
      <c r="A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8" t="n"/>
      <c r="M81" s="19" t="n"/>
      <c r="N81" s="19" t="n"/>
      <c r="O81" s="19" t="n"/>
      <c r="P81" s="19" t="n"/>
      <c r="Q81" s="19" t="n"/>
      <c r="R81" s="19" t="n"/>
      <c r="S81" s="19" t="n"/>
      <c r="T81" s="20">
        <f>IF(COUNTA(M81:S81)=0,"",SUM(M81:S81))</f>
        <v/>
      </c>
      <c r="U81" s="20">
        <f>IF(T81="","",IF(T81&gt;=10,"Apply/Pursue",IF(T81=9,"Review","Reject")))</f>
        <v/>
      </c>
      <c r="V81" s="17" t="n"/>
      <c r="W81" s="21" t="n"/>
      <c r="X81" s="17" t="n"/>
      <c r="Y81" s="21" t="n"/>
      <c r="Z81" s="22" t="n"/>
      <c r="AA81" s="23">
        <f>IF(OR(L81="",Z81=""),"",L81*Z81)</f>
        <v/>
      </c>
      <c r="AB81" s="17" t="n"/>
      <c r="A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8" t="n"/>
      <c r="M82" s="19" t="n"/>
      <c r="N82" s="19" t="n"/>
      <c r="O82" s="19" t="n"/>
      <c r="P82" s="19" t="n"/>
      <c r="Q82" s="19" t="n"/>
      <c r="R82" s="19" t="n"/>
      <c r="S82" s="19" t="n"/>
      <c r="T82" s="20">
        <f>IF(COUNTA(M82:S82)=0,"",SUM(M82:S82))</f>
        <v/>
      </c>
      <c r="U82" s="20">
        <f>IF(T82="","",IF(T82&gt;=10,"Apply/Pursue",IF(T82=9,"Review","Reject")))</f>
        <v/>
      </c>
      <c r="V82" s="17" t="n"/>
      <c r="W82" s="21" t="n"/>
      <c r="X82" s="17" t="n"/>
      <c r="Y82" s="21" t="n"/>
      <c r="Z82" s="22" t="n"/>
      <c r="AA82" s="23">
        <f>IF(OR(L82="",Z82=""),"",L82*Z82)</f>
        <v/>
      </c>
      <c r="AB82" s="17" t="n"/>
      <c r="A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8" t="n"/>
      <c r="M83" s="19" t="n"/>
      <c r="N83" s="19" t="n"/>
      <c r="O83" s="19" t="n"/>
      <c r="P83" s="19" t="n"/>
      <c r="Q83" s="19" t="n"/>
      <c r="R83" s="19" t="n"/>
      <c r="S83" s="19" t="n"/>
      <c r="T83" s="20">
        <f>IF(COUNTA(M83:S83)=0,"",SUM(M83:S83))</f>
        <v/>
      </c>
      <c r="U83" s="20">
        <f>IF(T83="","",IF(T83&gt;=10,"Apply/Pursue",IF(T83=9,"Review","Reject")))</f>
        <v/>
      </c>
      <c r="V83" s="17" t="n"/>
      <c r="W83" s="21" t="n"/>
      <c r="X83" s="17" t="n"/>
      <c r="Y83" s="21" t="n"/>
      <c r="Z83" s="22" t="n"/>
      <c r="AA83" s="23">
        <f>IF(OR(L83="",Z83=""),"",L83*Z83)</f>
        <v/>
      </c>
      <c r="AB83" s="17" t="n"/>
      <c r="A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8" t="n"/>
      <c r="M84" s="19" t="n"/>
      <c r="N84" s="19" t="n"/>
      <c r="O84" s="19" t="n"/>
      <c r="P84" s="19" t="n"/>
      <c r="Q84" s="19" t="n"/>
      <c r="R84" s="19" t="n"/>
      <c r="S84" s="19" t="n"/>
      <c r="T84" s="20">
        <f>IF(COUNTA(M84:S84)=0,"",SUM(M84:S84))</f>
        <v/>
      </c>
      <c r="U84" s="20">
        <f>IF(T84="","",IF(T84&gt;=10,"Apply/Pursue",IF(T84=9,"Review","Reject")))</f>
        <v/>
      </c>
      <c r="V84" s="17" t="n"/>
      <c r="W84" s="21" t="n"/>
      <c r="X84" s="17" t="n"/>
      <c r="Y84" s="21" t="n"/>
      <c r="Z84" s="22" t="n"/>
      <c r="AA84" s="23">
        <f>IF(OR(L84="",Z84=""),"",L84*Z84)</f>
        <v/>
      </c>
      <c r="AB84" s="17" t="n"/>
      <c r="A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8" t="n"/>
      <c r="M85" s="19" t="n"/>
      <c r="N85" s="19" t="n"/>
      <c r="O85" s="19" t="n"/>
      <c r="P85" s="19" t="n"/>
      <c r="Q85" s="19" t="n"/>
      <c r="R85" s="19" t="n"/>
      <c r="S85" s="19" t="n"/>
      <c r="T85" s="20">
        <f>IF(COUNTA(M85:S85)=0,"",SUM(M85:S85))</f>
        <v/>
      </c>
      <c r="U85" s="20">
        <f>IF(T85="","",IF(T85&gt;=10,"Apply/Pursue",IF(T85=9,"Review","Reject")))</f>
        <v/>
      </c>
      <c r="V85" s="17" t="n"/>
      <c r="W85" s="21" t="n"/>
      <c r="X85" s="17" t="n"/>
      <c r="Y85" s="21" t="n"/>
      <c r="Z85" s="22" t="n"/>
      <c r="AA85" s="23">
        <f>IF(OR(L85="",Z85=""),"",L85*Z85)</f>
        <v/>
      </c>
      <c r="AB85" s="17" t="n"/>
      <c r="A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8" t="n"/>
      <c r="M86" s="19" t="n"/>
      <c r="N86" s="19" t="n"/>
      <c r="O86" s="19" t="n"/>
      <c r="P86" s="19" t="n"/>
      <c r="Q86" s="19" t="n"/>
      <c r="R86" s="19" t="n"/>
      <c r="S86" s="19" t="n"/>
      <c r="T86" s="20">
        <f>IF(COUNTA(M86:S86)=0,"",SUM(M86:S86))</f>
        <v/>
      </c>
      <c r="U86" s="20">
        <f>IF(T86="","",IF(T86&gt;=10,"Apply/Pursue",IF(T86=9,"Review","Reject")))</f>
        <v/>
      </c>
      <c r="V86" s="17" t="n"/>
      <c r="W86" s="21" t="n"/>
      <c r="X86" s="17" t="n"/>
      <c r="Y86" s="21" t="n"/>
      <c r="Z86" s="22" t="n"/>
      <c r="AA86" s="23">
        <f>IF(OR(L86="",Z86=""),"",L86*Z86)</f>
        <v/>
      </c>
      <c r="AB86" s="17" t="n"/>
      <c r="A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8" t="n"/>
      <c r="M87" s="19" t="n"/>
      <c r="N87" s="19" t="n"/>
      <c r="O87" s="19" t="n"/>
      <c r="P87" s="19" t="n"/>
      <c r="Q87" s="19" t="n"/>
      <c r="R87" s="19" t="n"/>
      <c r="S87" s="19" t="n"/>
      <c r="T87" s="20">
        <f>IF(COUNTA(M87:S87)=0,"",SUM(M87:S87))</f>
        <v/>
      </c>
      <c r="U87" s="20">
        <f>IF(T87="","",IF(T87&gt;=10,"Apply/Pursue",IF(T87=9,"Review","Reject")))</f>
        <v/>
      </c>
      <c r="V87" s="17" t="n"/>
      <c r="W87" s="21" t="n"/>
      <c r="X87" s="17" t="n"/>
      <c r="Y87" s="21" t="n"/>
      <c r="Z87" s="22" t="n"/>
      <c r="AA87" s="23">
        <f>IF(OR(L87="",Z87=""),"",L87*Z87)</f>
        <v/>
      </c>
      <c r="AB87" s="17" t="n"/>
      <c r="A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8" t="n"/>
      <c r="M88" s="19" t="n"/>
      <c r="N88" s="19" t="n"/>
      <c r="O88" s="19" t="n"/>
      <c r="P88" s="19" t="n"/>
      <c r="Q88" s="19" t="n"/>
      <c r="R88" s="19" t="n"/>
      <c r="S88" s="19" t="n"/>
      <c r="T88" s="20">
        <f>IF(COUNTA(M88:S88)=0,"",SUM(M88:S88))</f>
        <v/>
      </c>
      <c r="U88" s="20">
        <f>IF(T88="","",IF(T88&gt;=10,"Apply/Pursue",IF(T88=9,"Review","Reject")))</f>
        <v/>
      </c>
      <c r="V88" s="17" t="n"/>
      <c r="W88" s="21" t="n"/>
      <c r="X88" s="17" t="n"/>
      <c r="Y88" s="21" t="n"/>
      <c r="Z88" s="22" t="n"/>
      <c r="AA88" s="23">
        <f>IF(OR(L88="",Z88=""),"",L88*Z88)</f>
        <v/>
      </c>
      <c r="AB88" s="17" t="n"/>
      <c r="A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8" t="n"/>
      <c r="M89" s="19" t="n"/>
      <c r="N89" s="19" t="n"/>
      <c r="O89" s="19" t="n"/>
      <c r="P89" s="19" t="n"/>
      <c r="Q89" s="19" t="n"/>
      <c r="R89" s="19" t="n"/>
      <c r="S89" s="19" t="n"/>
      <c r="T89" s="20">
        <f>IF(COUNTA(M89:S89)=0,"",SUM(M89:S89))</f>
        <v/>
      </c>
      <c r="U89" s="20">
        <f>IF(T89="","",IF(T89&gt;=10,"Apply/Pursue",IF(T89=9,"Review","Reject")))</f>
        <v/>
      </c>
      <c r="V89" s="17" t="n"/>
      <c r="W89" s="21" t="n"/>
      <c r="X89" s="17" t="n"/>
      <c r="Y89" s="21" t="n"/>
      <c r="Z89" s="22" t="n"/>
      <c r="AA89" s="23">
        <f>IF(OR(L89="",Z89=""),"",L89*Z89)</f>
        <v/>
      </c>
      <c r="AB89" s="17" t="n"/>
      <c r="A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8" t="n"/>
      <c r="M90" s="19" t="n"/>
      <c r="N90" s="19" t="n"/>
      <c r="O90" s="19" t="n"/>
      <c r="P90" s="19" t="n"/>
      <c r="Q90" s="19" t="n"/>
      <c r="R90" s="19" t="n"/>
      <c r="S90" s="19" t="n"/>
      <c r="T90" s="20">
        <f>IF(COUNTA(M90:S90)=0,"",SUM(M90:S90))</f>
        <v/>
      </c>
      <c r="U90" s="20">
        <f>IF(T90="","",IF(T90&gt;=10,"Apply/Pursue",IF(T90=9,"Review","Reject")))</f>
        <v/>
      </c>
      <c r="V90" s="17" t="n"/>
      <c r="W90" s="21" t="n"/>
      <c r="X90" s="17" t="n"/>
      <c r="Y90" s="21" t="n"/>
      <c r="Z90" s="22" t="n"/>
      <c r="AA90" s="23">
        <f>IF(OR(L90="",Z90=""),"",L90*Z90)</f>
        <v/>
      </c>
      <c r="AB90" s="17" t="n"/>
      <c r="A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8" t="n"/>
      <c r="M91" s="19" t="n"/>
      <c r="N91" s="19" t="n"/>
      <c r="O91" s="19" t="n"/>
      <c r="P91" s="19" t="n"/>
      <c r="Q91" s="19" t="n"/>
      <c r="R91" s="19" t="n"/>
      <c r="S91" s="19" t="n"/>
      <c r="T91" s="20">
        <f>IF(COUNTA(M91:S91)=0,"",SUM(M91:S91))</f>
        <v/>
      </c>
      <c r="U91" s="20">
        <f>IF(T91="","",IF(T91&gt;=10,"Apply/Pursue",IF(T91=9,"Review","Reject")))</f>
        <v/>
      </c>
      <c r="V91" s="17" t="n"/>
      <c r="W91" s="21" t="n"/>
      <c r="X91" s="17" t="n"/>
      <c r="Y91" s="21" t="n"/>
      <c r="Z91" s="22" t="n"/>
      <c r="AA91" s="23">
        <f>IF(OR(L91="",Z91=""),"",L91*Z91)</f>
        <v/>
      </c>
      <c r="AB91" s="17" t="n"/>
      <c r="A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8" t="n"/>
      <c r="M92" s="19" t="n"/>
      <c r="N92" s="19" t="n"/>
      <c r="O92" s="19" t="n"/>
      <c r="P92" s="19" t="n"/>
      <c r="Q92" s="19" t="n"/>
      <c r="R92" s="19" t="n"/>
      <c r="S92" s="19" t="n"/>
      <c r="T92" s="20">
        <f>IF(COUNTA(M92:S92)=0,"",SUM(M92:S92))</f>
        <v/>
      </c>
      <c r="U92" s="20">
        <f>IF(T92="","",IF(T92&gt;=10,"Apply/Pursue",IF(T92=9,"Review","Reject")))</f>
        <v/>
      </c>
      <c r="V92" s="17" t="n"/>
      <c r="W92" s="21" t="n"/>
      <c r="X92" s="17" t="n"/>
      <c r="Y92" s="21" t="n"/>
      <c r="Z92" s="22" t="n"/>
      <c r="AA92" s="23">
        <f>IF(OR(L92="",Z92=""),"",L92*Z92)</f>
        <v/>
      </c>
      <c r="AB92" s="17" t="n"/>
      <c r="A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8" t="n"/>
      <c r="M93" s="19" t="n"/>
      <c r="N93" s="19" t="n"/>
      <c r="O93" s="19" t="n"/>
      <c r="P93" s="19" t="n"/>
      <c r="Q93" s="19" t="n"/>
      <c r="R93" s="19" t="n"/>
      <c r="S93" s="19" t="n"/>
      <c r="T93" s="20">
        <f>IF(COUNTA(M93:S93)=0,"",SUM(M93:S93))</f>
        <v/>
      </c>
      <c r="U93" s="20">
        <f>IF(T93="","",IF(T93&gt;=10,"Apply/Pursue",IF(T93=9,"Review","Reject")))</f>
        <v/>
      </c>
      <c r="V93" s="17" t="n"/>
      <c r="W93" s="21" t="n"/>
      <c r="X93" s="17" t="n"/>
      <c r="Y93" s="21" t="n"/>
      <c r="Z93" s="22" t="n"/>
      <c r="AA93" s="23">
        <f>IF(OR(L93="",Z93=""),"",L93*Z93)</f>
        <v/>
      </c>
      <c r="AB93" s="17" t="n"/>
      <c r="A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8" t="n"/>
      <c r="M94" s="19" t="n"/>
      <c r="N94" s="19" t="n"/>
      <c r="O94" s="19" t="n"/>
      <c r="P94" s="19" t="n"/>
      <c r="Q94" s="19" t="n"/>
      <c r="R94" s="19" t="n"/>
      <c r="S94" s="19" t="n"/>
      <c r="T94" s="20">
        <f>IF(COUNTA(M94:S94)=0,"",SUM(M94:S94))</f>
        <v/>
      </c>
      <c r="U94" s="20">
        <f>IF(T94="","",IF(T94&gt;=10,"Apply/Pursue",IF(T94=9,"Review","Reject")))</f>
        <v/>
      </c>
      <c r="V94" s="17" t="n"/>
      <c r="W94" s="21" t="n"/>
      <c r="X94" s="17" t="n"/>
      <c r="Y94" s="21" t="n"/>
      <c r="Z94" s="22" t="n"/>
      <c r="AA94" s="23">
        <f>IF(OR(L94="",Z94=""),"",L94*Z94)</f>
        <v/>
      </c>
      <c r="AB94" s="17" t="n"/>
      <c r="A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8" t="n"/>
      <c r="M95" s="19" t="n"/>
      <c r="N95" s="19" t="n"/>
      <c r="O95" s="19" t="n"/>
      <c r="P95" s="19" t="n"/>
      <c r="Q95" s="19" t="n"/>
      <c r="R95" s="19" t="n"/>
      <c r="S95" s="19" t="n"/>
      <c r="T95" s="20">
        <f>IF(COUNTA(M95:S95)=0,"",SUM(M95:S95))</f>
        <v/>
      </c>
      <c r="U95" s="20">
        <f>IF(T95="","",IF(T95&gt;=10,"Apply/Pursue",IF(T95=9,"Review","Reject")))</f>
        <v/>
      </c>
      <c r="V95" s="17" t="n"/>
      <c r="W95" s="21" t="n"/>
      <c r="X95" s="17" t="n"/>
      <c r="Y95" s="21" t="n"/>
      <c r="Z95" s="22" t="n"/>
      <c r="AA95" s="23">
        <f>IF(OR(L95="",Z95=""),"",L95*Z95)</f>
        <v/>
      </c>
      <c r="AB95" s="17" t="n"/>
      <c r="A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8" t="n"/>
      <c r="M96" s="19" t="n"/>
      <c r="N96" s="19" t="n"/>
      <c r="O96" s="19" t="n"/>
      <c r="P96" s="19" t="n"/>
      <c r="Q96" s="19" t="n"/>
      <c r="R96" s="19" t="n"/>
      <c r="S96" s="19" t="n"/>
      <c r="T96" s="20">
        <f>IF(COUNTA(M96:S96)=0,"",SUM(M96:S96))</f>
        <v/>
      </c>
      <c r="U96" s="20">
        <f>IF(T96="","",IF(T96&gt;=10,"Apply/Pursue",IF(T96=9,"Review","Reject")))</f>
        <v/>
      </c>
      <c r="V96" s="17" t="n"/>
      <c r="W96" s="21" t="n"/>
      <c r="X96" s="17" t="n"/>
      <c r="Y96" s="21" t="n"/>
      <c r="Z96" s="22" t="n"/>
      <c r="AA96" s="23">
        <f>IF(OR(L96="",Z96=""),"",L96*Z96)</f>
        <v/>
      </c>
      <c r="AB96" s="17" t="n"/>
      <c r="A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8" t="n"/>
      <c r="M97" s="19" t="n"/>
      <c r="N97" s="19" t="n"/>
      <c r="O97" s="19" t="n"/>
      <c r="P97" s="19" t="n"/>
      <c r="Q97" s="19" t="n"/>
      <c r="R97" s="19" t="n"/>
      <c r="S97" s="19" t="n"/>
      <c r="T97" s="20">
        <f>IF(COUNTA(M97:S97)=0,"",SUM(M97:S97))</f>
        <v/>
      </c>
      <c r="U97" s="20">
        <f>IF(T97="","",IF(T97&gt;=10,"Apply/Pursue",IF(T97=9,"Review","Reject")))</f>
        <v/>
      </c>
      <c r="V97" s="17" t="n"/>
      <c r="W97" s="21" t="n"/>
      <c r="X97" s="17" t="n"/>
      <c r="Y97" s="21" t="n"/>
      <c r="Z97" s="22" t="n"/>
      <c r="AA97" s="23">
        <f>IF(OR(L97="",Z97=""),"",L97*Z97)</f>
        <v/>
      </c>
      <c r="AB97" s="17" t="n"/>
      <c r="A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8" t="n"/>
      <c r="M98" s="19" t="n"/>
      <c r="N98" s="19" t="n"/>
      <c r="O98" s="19" t="n"/>
      <c r="P98" s="19" t="n"/>
      <c r="Q98" s="19" t="n"/>
      <c r="R98" s="19" t="n"/>
      <c r="S98" s="19" t="n"/>
      <c r="T98" s="20">
        <f>IF(COUNTA(M98:S98)=0,"",SUM(M98:S98))</f>
        <v/>
      </c>
      <c r="U98" s="20">
        <f>IF(T98="","",IF(T98&gt;=10,"Apply/Pursue",IF(T98=9,"Review","Reject")))</f>
        <v/>
      </c>
      <c r="V98" s="17" t="n"/>
      <c r="W98" s="21" t="n"/>
      <c r="X98" s="17" t="n"/>
      <c r="Y98" s="21" t="n"/>
      <c r="Z98" s="22" t="n"/>
      <c r="AA98" s="23">
        <f>IF(OR(L98="",Z98=""),"",L98*Z98)</f>
        <v/>
      </c>
      <c r="AB98" s="17" t="n"/>
      <c r="A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8" t="n"/>
      <c r="M99" s="19" t="n"/>
      <c r="N99" s="19" t="n"/>
      <c r="O99" s="19" t="n"/>
      <c r="P99" s="19" t="n"/>
      <c r="Q99" s="19" t="n"/>
      <c r="R99" s="19" t="n"/>
      <c r="S99" s="19" t="n"/>
      <c r="T99" s="20">
        <f>IF(COUNTA(M99:S99)=0,"",SUM(M99:S99))</f>
        <v/>
      </c>
      <c r="U99" s="20">
        <f>IF(T99="","",IF(T99&gt;=10,"Apply/Pursue",IF(T99=9,"Review","Reject")))</f>
        <v/>
      </c>
      <c r="V99" s="17" t="n"/>
      <c r="W99" s="21" t="n"/>
      <c r="X99" s="17" t="n"/>
      <c r="Y99" s="21" t="n"/>
      <c r="Z99" s="22" t="n"/>
      <c r="AA99" s="23">
        <f>IF(OR(L99="",Z99=""),"",L99*Z99)</f>
        <v/>
      </c>
      <c r="AB99" s="17" t="n"/>
      <c r="A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8" t="n"/>
      <c r="M100" s="19" t="n"/>
      <c r="N100" s="19" t="n"/>
      <c r="O100" s="19" t="n"/>
      <c r="P100" s="19" t="n"/>
      <c r="Q100" s="19" t="n"/>
      <c r="R100" s="19" t="n"/>
      <c r="S100" s="19" t="n"/>
      <c r="T100" s="20">
        <f>IF(COUNTA(M100:S100)=0,"",SUM(M100:S100))</f>
        <v/>
      </c>
      <c r="U100" s="20">
        <f>IF(T100="","",IF(T100&gt;=10,"Apply/Pursue",IF(T100=9,"Review","Reject")))</f>
        <v/>
      </c>
      <c r="V100" s="17" t="n"/>
      <c r="W100" s="21" t="n"/>
      <c r="X100" s="17" t="n"/>
      <c r="Y100" s="21" t="n"/>
      <c r="Z100" s="22" t="n"/>
      <c r="AA100" s="23">
        <f>IF(OR(L100="",Z100=""),"",L100*Z100)</f>
        <v/>
      </c>
      <c r="AB100" s="17" t="n"/>
      <c r="A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8" t="n"/>
      <c r="M101" s="19" t="n"/>
      <c r="N101" s="19" t="n"/>
      <c r="O101" s="19" t="n"/>
      <c r="P101" s="19" t="n"/>
      <c r="Q101" s="19" t="n"/>
      <c r="R101" s="19" t="n"/>
      <c r="S101" s="19" t="n"/>
      <c r="T101" s="20">
        <f>IF(COUNTA(M101:S101)=0,"",SUM(M101:S101))</f>
        <v/>
      </c>
      <c r="U101" s="20">
        <f>IF(T101="","",IF(T101&gt;=10,"Apply/Pursue",IF(T101=9,"Review","Reject")))</f>
        <v/>
      </c>
      <c r="V101" s="17" t="n"/>
      <c r="W101" s="21" t="n"/>
      <c r="X101" s="17" t="n"/>
      <c r="Y101" s="21" t="n"/>
      <c r="Z101" s="22" t="n"/>
      <c r="AA101" s="23">
        <f>IF(OR(L101="",Z101=""),"",L101*Z101)</f>
        <v/>
      </c>
      <c r="AB101" s="17" t="n"/>
      <c r="A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8" t="n"/>
      <c r="M102" s="19" t="n"/>
      <c r="N102" s="19" t="n"/>
      <c r="O102" s="19" t="n"/>
      <c r="P102" s="19" t="n"/>
      <c r="Q102" s="19" t="n"/>
      <c r="R102" s="19" t="n"/>
      <c r="S102" s="19" t="n"/>
      <c r="T102" s="20">
        <f>IF(COUNTA(M102:S102)=0,"",SUM(M102:S102))</f>
        <v/>
      </c>
      <c r="U102" s="20">
        <f>IF(T102="","",IF(T102&gt;=10,"Apply/Pursue",IF(T102=9,"Review","Reject")))</f>
        <v/>
      </c>
      <c r="V102" s="17" t="n"/>
      <c r="W102" s="21" t="n"/>
      <c r="X102" s="17" t="n"/>
      <c r="Y102" s="21" t="n"/>
      <c r="Z102" s="22" t="n"/>
      <c r="AA102" s="23">
        <f>IF(OR(L102="",Z102=""),"",L102*Z102)</f>
        <v/>
      </c>
      <c r="AB102" s="17" t="n"/>
      <c r="A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8" t="n"/>
      <c r="M103" s="19" t="n"/>
      <c r="N103" s="19" t="n"/>
      <c r="O103" s="19" t="n"/>
      <c r="P103" s="19" t="n"/>
      <c r="Q103" s="19" t="n"/>
      <c r="R103" s="19" t="n"/>
      <c r="S103" s="19" t="n"/>
      <c r="T103" s="20">
        <f>IF(COUNTA(M103:S103)=0,"",SUM(M103:S103))</f>
        <v/>
      </c>
      <c r="U103" s="20">
        <f>IF(T103="","",IF(T103&gt;=10,"Apply/Pursue",IF(T103=9,"Review","Reject")))</f>
        <v/>
      </c>
      <c r="V103" s="17" t="n"/>
      <c r="W103" s="21" t="n"/>
      <c r="X103" s="17" t="n"/>
      <c r="Y103" s="21" t="n"/>
      <c r="Z103" s="22" t="n"/>
      <c r="AA103" s="23">
        <f>IF(OR(L103="",Z103=""),"",L103*Z103)</f>
        <v/>
      </c>
      <c r="AB103" s="17" t="n"/>
      <c r="A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8" t="n"/>
      <c r="M104" s="19" t="n"/>
      <c r="N104" s="19" t="n"/>
      <c r="O104" s="19" t="n"/>
      <c r="P104" s="19" t="n"/>
      <c r="Q104" s="19" t="n"/>
      <c r="R104" s="19" t="n"/>
      <c r="S104" s="19" t="n"/>
      <c r="T104" s="20">
        <f>IF(COUNTA(M104:S104)=0,"",SUM(M104:S104))</f>
        <v/>
      </c>
      <c r="U104" s="20">
        <f>IF(T104="","",IF(T104&gt;=10,"Apply/Pursue",IF(T104=9,"Review","Reject")))</f>
        <v/>
      </c>
      <c r="V104" s="17" t="n"/>
      <c r="W104" s="21" t="n"/>
      <c r="X104" s="17" t="n"/>
      <c r="Y104" s="21" t="n"/>
      <c r="Z104" s="22" t="n"/>
      <c r="AA104" s="23">
        <f>IF(OR(L104="",Z104=""),"",L104*Z104)</f>
        <v/>
      </c>
      <c r="AB104" s="17" t="n"/>
      <c r="A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8" t="n"/>
      <c r="M105" s="19" t="n"/>
      <c r="N105" s="19" t="n"/>
      <c r="O105" s="19" t="n"/>
      <c r="P105" s="19" t="n"/>
      <c r="Q105" s="19" t="n"/>
      <c r="R105" s="19" t="n"/>
      <c r="S105" s="19" t="n"/>
      <c r="T105" s="20">
        <f>IF(COUNTA(M105:S105)=0,"",SUM(M105:S105))</f>
        <v/>
      </c>
      <c r="U105" s="20">
        <f>IF(T105="","",IF(T105&gt;=10,"Apply/Pursue",IF(T105=9,"Review","Reject")))</f>
        <v/>
      </c>
      <c r="V105" s="17" t="n"/>
      <c r="W105" s="21" t="n"/>
      <c r="X105" s="17" t="n"/>
      <c r="Y105" s="21" t="n"/>
      <c r="Z105" s="22" t="n"/>
      <c r="AA105" s="23">
        <f>IF(OR(L105="",Z105=""),"",L105*Z105)</f>
        <v/>
      </c>
      <c r="AB105" s="17" t="n"/>
      <c r="A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8" t="n"/>
      <c r="M106" s="19" t="n"/>
      <c r="N106" s="19" t="n"/>
      <c r="O106" s="19" t="n"/>
      <c r="P106" s="19" t="n"/>
      <c r="Q106" s="19" t="n"/>
      <c r="R106" s="19" t="n"/>
      <c r="S106" s="19" t="n"/>
      <c r="T106" s="20">
        <f>IF(COUNTA(M106:S106)=0,"",SUM(M106:S106))</f>
        <v/>
      </c>
      <c r="U106" s="20">
        <f>IF(T106="","",IF(T106&gt;=10,"Apply/Pursue",IF(T106=9,"Review","Reject")))</f>
        <v/>
      </c>
      <c r="V106" s="17" t="n"/>
      <c r="W106" s="21" t="n"/>
      <c r="X106" s="17" t="n"/>
      <c r="Y106" s="21" t="n"/>
      <c r="Z106" s="22" t="n"/>
      <c r="AA106" s="23">
        <f>IF(OR(L106="",Z106=""),"",L106*Z106)</f>
        <v/>
      </c>
      <c r="AB106" s="17" t="n"/>
      <c r="A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8" t="n"/>
      <c r="M107" s="19" t="n"/>
      <c r="N107" s="19" t="n"/>
      <c r="O107" s="19" t="n"/>
      <c r="P107" s="19" t="n"/>
      <c r="Q107" s="19" t="n"/>
      <c r="R107" s="19" t="n"/>
      <c r="S107" s="19" t="n"/>
      <c r="T107" s="20">
        <f>IF(COUNTA(M107:S107)=0,"",SUM(M107:S107))</f>
        <v/>
      </c>
      <c r="U107" s="20">
        <f>IF(T107="","",IF(T107&gt;=10,"Apply/Pursue",IF(T107=9,"Review","Reject")))</f>
        <v/>
      </c>
      <c r="V107" s="17" t="n"/>
      <c r="W107" s="21" t="n"/>
      <c r="X107" s="17" t="n"/>
      <c r="Y107" s="21" t="n"/>
      <c r="Z107" s="22" t="n"/>
      <c r="AA107" s="23">
        <f>IF(OR(L107="",Z107=""),"",L107*Z107)</f>
        <v/>
      </c>
      <c r="AB107" s="17" t="n"/>
      <c r="A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8" t="n"/>
      <c r="M108" s="19" t="n"/>
      <c r="N108" s="19" t="n"/>
      <c r="O108" s="19" t="n"/>
      <c r="P108" s="19" t="n"/>
      <c r="Q108" s="19" t="n"/>
      <c r="R108" s="19" t="n"/>
      <c r="S108" s="19" t="n"/>
      <c r="T108" s="20">
        <f>IF(COUNTA(M108:S108)=0,"",SUM(M108:S108))</f>
        <v/>
      </c>
      <c r="U108" s="20">
        <f>IF(T108="","",IF(T108&gt;=10,"Apply/Pursue",IF(T108=9,"Review","Reject")))</f>
        <v/>
      </c>
      <c r="V108" s="17" t="n"/>
      <c r="W108" s="21" t="n"/>
      <c r="X108" s="17" t="n"/>
      <c r="Y108" s="21" t="n"/>
      <c r="Z108" s="22" t="n"/>
      <c r="AA108" s="23">
        <f>IF(OR(L108="",Z108=""),"",L108*Z108)</f>
        <v/>
      </c>
      <c r="AB108" s="17" t="n"/>
      <c r="A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8" t="n"/>
      <c r="M109" s="19" t="n"/>
      <c r="N109" s="19" t="n"/>
      <c r="O109" s="19" t="n"/>
      <c r="P109" s="19" t="n"/>
      <c r="Q109" s="19" t="n"/>
      <c r="R109" s="19" t="n"/>
      <c r="S109" s="19" t="n"/>
      <c r="T109" s="20">
        <f>IF(COUNTA(M109:S109)=0,"",SUM(M109:S109))</f>
        <v/>
      </c>
      <c r="U109" s="20">
        <f>IF(T109="","",IF(T109&gt;=10,"Apply/Pursue",IF(T109=9,"Review","Reject")))</f>
        <v/>
      </c>
      <c r="V109" s="17" t="n"/>
      <c r="W109" s="21" t="n"/>
      <c r="X109" s="17" t="n"/>
      <c r="Y109" s="21" t="n"/>
      <c r="Z109" s="22" t="n"/>
      <c r="AA109" s="23">
        <f>IF(OR(L109="",Z109=""),"",L109*Z109)</f>
        <v/>
      </c>
      <c r="AB109" s="17" t="n"/>
      <c r="A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8" t="n"/>
      <c r="M110" s="19" t="n"/>
      <c r="N110" s="19" t="n"/>
      <c r="O110" s="19" t="n"/>
      <c r="P110" s="19" t="n"/>
      <c r="Q110" s="19" t="n"/>
      <c r="R110" s="19" t="n"/>
      <c r="S110" s="19" t="n"/>
      <c r="T110" s="20">
        <f>IF(COUNTA(M110:S110)=0,"",SUM(M110:S110))</f>
        <v/>
      </c>
      <c r="U110" s="20">
        <f>IF(T110="","",IF(T110&gt;=10,"Apply/Pursue",IF(T110=9,"Review","Reject")))</f>
        <v/>
      </c>
      <c r="V110" s="17" t="n"/>
      <c r="W110" s="21" t="n"/>
      <c r="X110" s="17" t="n"/>
      <c r="Y110" s="21" t="n"/>
      <c r="Z110" s="22" t="n"/>
      <c r="AA110" s="23">
        <f>IF(OR(L110="",Z110=""),"",L110*Z110)</f>
        <v/>
      </c>
      <c r="AB110" s="17" t="n"/>
      <c r="A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8" t="n"/>
      <c r="M111" s="19" t="n"/>
      <c r="N111" s="19" t="n"/>
      <c r="O111" s="19" t="n"/>
      <c r="P111" s="19" t="n"/>
      <c r="Q111" s="19" t="n"/>
      <c r="R111" s="19" t="n"/>
      <c r="S111" s="19" t="n"/>
      <c r="T111" s="20">
        <f>IF(COUNTA(M111:S111)=0,"",SUM(M111:S111))</f>
        <v/>
      </c>
      <c r="U111" s="20">
        <f>IF(T111="","",IF(T111&gt;=10,"Apply/Pursue",IF(T111=9,"Review","Reject")))</f>
        <v/>
      </c>
      <c r="V111" s="17" t="n"/>
      <c r="W111" s="21" t="n"/>
      <c r="X111" s="17" t="n"/>
      <c r="Y111" s="21" t="n"/>
      <c r="Z111" s="22" t="n"/>
      <c r="AA111" s="23">
        <f>IF(OR(L111="",Z111=""),"",L111*Z111)</f>
        <v/>
      </c>
      <c r="AB111" s="17" t="n"/>
      <c r="A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8" t="n"/>
      <c r="M112" s="19" t="n"/>
      <c r="N112" s="19" t="n"/>
      <c r="O112" s="19" t="n"/>
      <c r="P112" s="19" t="n"/>
      <c r="Q112" s="19" t="n"/>
      <c r="R112" s="19" t="n"/>
      <c r="S112" s="19" t="n"/>
      <c r="T112" s="20">
        <f>IF(COUNTA(M112:S112)=0,"",SUM(M112:S112))</f>
        <v/>
      </c>
      <c r="U112" s="20">
        <f>IF(T112="","",IF(T112&gt;=10,"Apply/Pursue",IF(T112=9,"Review","Reject")))</f>
        <v/>
      </c>
      <c r="V112" s="17" t="n"/>
      <c r="W112" s="21" t="n"/>
      <c r="X112" s="17" t="n"/>
      <c r="Y112" s="21" t="n"/>
      <c r="Z112" s="22" t="n"/>
      <c r="AA112" s="23">
        <f>IF(OR(L112="",Z112=""),"",L112*Z112)</f>
        <v/>
      </c>
      <c r="AB112" s="17" t="n"/>
      <c r="A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8" t="n"/>
      <c r="M113" s="19" t="n"/>
      <c r="N113" s="19" t="n"/>
      <c r="O113" s="19" t="n"/>
      <c r="P113" s="19" t="n"/>
      <c r="Q113" s="19" t="n"/>
      <c r="R113" s="19" t="n"/>
      <c r="S113" s="19" t="n"/>
      <c r="T113" s="20">
        <f>IF(COUNTA(M113:S113)=0,"",SUM(M113:S113))</f>
        <v/>
      </c>
      <c r="U113" s="20">
        <f>IF(T113="","",IF(T113&gt;=10,"Apply/Pursue",IF(T113=9,"Review","Reject")))</f>
        <v/>
      </c>
      <c r="V113" s="17" t="n"/>
      <c r="W113" s="21" t="n"/>
      <c r="X113" s="17" t="n"/>
      <c r="Y113" s="21" t="n"/>
      <c r="Z113" s="22" t="n"/>
      <c r="AA113" s="23">
        <f>IF(OR(L113="",Z113=""),"",L113*Z113)</f>
        <v/>
      </c>
      <c r="AB113" s="17" t="n"/>
      <c r="A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8" t="n"/>
      <c r="M114" s="19" t="n"/>
      <c r="N114" s="19" t="n"/>
      <c r="O114" s="19" t="n"/>
      <c r="P114" s="19" t="n"/>
      <c r="Q114" s="19" t="n"/>
      <c r="R114" s="19" t="n"/>
      <c r="S114" s="19" t="n"/>
      <c r="T114" s="20">
        <f>IF(COUNTA(M114:S114)=0,"",SUM(M114:S114))</f>
        <v/>
      </c>
      <c r="U114" s="20">
        <f>IF(T114="","",IF(T114&gt;=10,"Apply/Pursue",IF(T114=9,"Review","Reject")))</f>
        <v/>
      </c>
      <c r="V114" s="17" t="n"/>
      <c r="W114" s="21" t="n"/>
      <c r="X114" s="17" t="n"/>
      <c r="Y114" s="21" t="n"/>
      <c r="Z114" s="22" t="n"/>
      <c r="AA114" s="23">
        <f>IF(OR(L114="",Z114=""),"",L114*Z114)</f>
        <v/>
      </c>
      <c r="AB114" s="17" t="n"/>
      <c r="A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8" t="n"/>
      <c r="M115" s="19" t="n"/>
      <c r="N115" s="19" t="n"/>
      <c r="O115" s="19" t="n"/>
      <c r="P115" s="19" t="n"/>
      <c r="Q115" s="19" t="n"/>
      <c r="R115" s="19" t="n"/>
      <c r="S115" s="19" t="n"/>
      <c r="T115" s="20">
        <f>IF(COUNTA(M115:S115)=0,"",SUM(M115:S115))</f>
        <v/>
      </c>
      <c r="U115" s="20">
        <f>IF(T115="","",IF(T115&gt;=10,"Apply/Pursue",IF(T115=9,"Review","Reject")))</f>
        <v/>
      </c>
      <c r="V115" s="17" t="n"/>
      <c r="W115" s="21" t="n"/>
      <c r="X115" s="17" t="n"/>
      <c r="Y115" s="21" t="n"/>
      <c r="Z115" s="22" t="n"/>
      <c r="AA115" s="23">
        <f>IF(OR(L115="",Z115=""),"",L115*Z115)</f>
        <v/>
      </c>
      <c r="AB115" s="17" t="n"/>
      <c r="A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8" t="n"/>
      <c r="M116" s="19" t="n"/>
      <c r="N116" s="19" t="n"/>
      <c r="O116" s="19" t="n"/>
      <c r="P116" s="19" t="n"/>
      <c r="Q116" s="19" t="n"/>
      <c r="R116" s="19" t="n"/>
      <c r="S116" s="19" t="n"/>
      <c r="T116" s="20">
        <f>IF(COUNTA(M116:S116)=0,"",SUM(M116:S116))</f>
        <v/>
      </c>
      <c r="U116" s="20">
        <f>IF(T116="","",IF(T116&gt;=10,"Apply/Pursue",IF(T116=9,"Review","Reject")))</f>
        <v/>
      </c>
      <c r="V116" s="17" t="n"/>
      <c r="W116" s="21" t="n"/>
      <c r="X116" s="17" t="n"/>
      <c r="Y116" s="21" t="n"/>
      <c r="Z116" s="22" t="n"/>
      <c r="AA116" s="23">
        <f>IF(OR(L116="",Z116=""),"",L116*Z116)</f>
        <v/>
      </c>
      <c r="AB116" s="17" t="n"/>
      <c r="A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8" t="n"/>
      <c r="M117" s="19" t="n"/>
      <c r="N117" s="19" t="n"/>
      <c r="O117" s="19" t="n"/>
      <c r="P117" s="19" t="n"/>
      <c r="Q117" s="19" t="n"/>
      <c r="R117" s="19" t="n"/>
      <c r="S117" s="19" t="n"/>
      <c r="T117" s="20">
        <f>IF(COUNTA(M117:S117)=0,"",SUM(M117:S117))</f>
        <v/>
      </c>
      <c r="U117" s="20">
        <f>IF(T117="","",IF(T117&gt;=10,"Apply/Pursue",IF(T117=9,"Review","Reject")))</f>
        <v/>
      </c>
      <c r="V117" s="17" t="n"/>
      <c r="W117" s="21" t="n"/>
      <c r="X117" s="17" t="n"/>
      <c r="Y117" s="21" t="n"/>
      <c r="Z117" s="22" t="n"/>
      <c r="AA117" s="23">
        <f>IF(OR(L117="",Z117=""),"",L117*Z117)</f>
        <v/>
      </c>
      <c r="AB117" s="17" t="n"/>
      <c r="A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8" t="n"/>
      <c r="M118" s="19" t="n"/>
      <c r="N118" s="19" t="n"/>
      <c r="O118" s="19" t="n"/>
      <c r="P118" s="19" t="n"/>
      <c r="Q118" s="19" t="n"/>
      <c r="R118" s="19" t="n"/>
      <c r="S118" s="19" t="n"/>
      <c r="T118" s="20">
        <f>IF(COUNTA(M118:S118)=0,"",SUM(M118:S118))</f>
        <v/>
      </c>
      <c r="U118" s="20">
        <f>IF(T118="","",IF(T118&gt;=10,"Apply/Pursue",IF(T118=9,"Review","Reject")))</f>
        <v/>
      </c>
      <c r="V118" s="17" t="n"/>
      <c r="W118" s="21" t="n"/>
      <c r="X118" s="17" t="n"/>
      <c r="Y118" s="21" t="n"/>
      <c r="Z118" s="22" t="n"/>
      <c r="AA118" s="23">
        <f>IF(OR(L118="",Z118=""),"",L118*Z118)</f>
        <v/>
      </c>
      <c r="AB118" s="17" t="n"/>
      <c r="A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8" t="n"/>
      <c r="M119" s="19" t="n"/>
      <c r="N119" s="19" t="n"/>
      <c r="O119" s="19" t="n"/>
      <c r="P119" s="19" t="n"/>
      <c r="Q119" s="19" t="n"/>
      <c r="R119" s="19" t="n"/>
      <c r="S119" s="19" t="n"/>
      <c r="T119" s="20">
        <f>IF(COUNTA(M119:S119)=0,"",SUM(M119:S119))</f>
        <v/>
      </c>
      <c r="U119" s="20">
        <f>IF(T119="","",IF(T119&gt;=10,"Apply/Pursue",IF(T119=9,"Review","Reject")))</f>
        <v/>
      </c>
      <c r="V119" s="17" t="n"/>
      <c r="W119" s="21" t="n"/>
      <c r="X119" s="17" t="n"/>
      <c r="Y119" s="21" t="n"/>
      <c r="Z119" s="22" t="n"/>
      <c r="AA119" s="23">
        <f>IF(OR(L119="",Z119=""),"",L119*Z119)</f>
        <v/>
      </c>
      <c r="AB119" s="17" t="n"/>
      <c r="A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8" t="n"/>
      <c r="M120" s="19" t="n"/>
      <c r="N120" s="19" t="n"/>
      <c r="O120" s="19" t="n"/>
      <c r="P120" s="19" t="n"/>
      <c r="Q120" s="19" t="n"/>
      <c r="R120" s="19" t="n"/>
      <c r="S120" s="19" t="n"/>
      <c r="T120" s="20">
        <f>IF(COUNTA(M120:S120)=0,"",SUM(M120:S120))</f>
        <v/>
      </c>
      <c r="U120" s="20">
        <f>IF(T120="","",IF(T120&gt;=10,"Apply/Pursue",IF(T120=9,"Review","Reject")))</f>
        <v/>
      </c>
      <c r="V120" s="17" t="n"/>
      <c r="W120" s="21" t="n"/>
      <c r="X120" s="17" t="n"/>
      <c r="Y120" s="21" t="n"/>
      <c r="Z120" s="22" t="n"/>
      <c r="AA120" s="23">
        <f>IF(OR(L120="",Z120=""),"",L120*Z120)</f>
        <v/>
      </c>
      <c r="AB120" s="17" t="n"/>
      <c r="A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8" t="n"/>
      <c r="M121" s="19" t="n"/>
      <c r="N121" s="19" t="n"/>
      <c r="O121" s="19" t="n"/>
      <c r="P121" s="19" t="n"/>
      <c r="Q121" s="19" t="n"/>
      <c r="R121" s="19" t="n"/>
      <c r="S121" s="19" t="n"/>
      <c r="T121" s="20">
        <f>IF(COUNTA(M121:S121)=0,"",SUM(M121:S121))</f>
        <v/>
      </c>
      <c r="U121" s="20">
        <f>IF(T121="","",IF(T121&gt;=10,"Apply/Pursue",IF(T121=9,"Review","Reject")))</f>
        <v/>
      </c>
      <c r="V121" s="17" t="n"/>
      <c r="W121" s="21" t="n"/>
      <c r="X121" s="17" t="n"/>
      <c r="Y121" s="21" t="n"/>
      <c r="Z121" s="22" t="n"/>
      <c r="AA121" s="23">
        <f>IF(OR(L121="",Z121=""),"",L121*Z121)</f>
        <v/>
      </c>
      <c r="AB121" s="17" t="n"/>
      <c r="A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8" t="n"/>
      <c r="M122" s="19" t="n"/>
      <c r="N122" s="19" t="n"/>
      <c r="O122" s="19" t="n"/>
      <c r="P122" s="19" t="n"/>
      <c r="Q122" s="19" t="n"/>
      <c r="R122" s="19" t="n"/>
      <c r="S122" s="19" t="n"/>
      <c r="T122" s="20">
        <f>IF(COUNTA(M122:S122)=0,"",SUM(M122:S122))</f>
        <v/>
      </c>
      <c r="U122" s="20">
        <f>IF(T122="","",IF(T122&gt;=10,"Apply/Pursue",IF(T122=9,"Review","Reject")))</f>
        <v/>
      </c>
      <c r="V122" s="17" t="n"/>
      <c r="W122" s="21" t="n"/>
      <c r="X122" s="17" t="n"/>
      <c r="Y122" s="21" t="n"/>
      <c r="Z122" s="22" t="n"/>
      <c r="AA122" s="23">
        <f>IF(OR(L122="",Z122=""),"",L122*Z122)</f>
        <v/>
      </c>
      <c r="AB122" s="17" t="n"/>
      <c r="A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8" t="n"/>
      <c r="M123" s="19" t="n"/>
      <c r="N123" s="19" t="n"/>
      <c r="O123" s="19" t="n"/>
      <c r="P123" s="19" t="n"/>
      <c r="Q123" s="19" t="n"/>
      <c r="R123" s="19" t="n"/>
      <c r="S123" s="19" t="n"/>
      <c r="T123" s="20">
        <f>IF(COUNTA(M123:S123)=0,"",SUM(M123:S123))</f>
        <v/>
      </c>
      <c r="U123" s="20">
        <f>IF(T123="","",IF(T123&gt;=10,"Apply/Pursue",IF(T123=9,"Review","Reject")))</f>
        <v/>
      </c>
      <c r="V123" s="17" t="n"/>
      <c r="W123" s="21" t="n"/>
      <c r="X123" s="17" t="n"/>
      <c r="Y123" s="21" t="n"/>
      <c r="Z123" s="22" t="n"/>
      <c r="AA123" s="23">
        <f>IF(OR(L123="",Z123=""),"",L123*Z123)</f>
        <v/>
      </c>
      <c r="AB123" s="17" t="n"/>
      <c r="A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8" t="n"/>
      <c r="M124" s="19" t="n"/>
      <c r="N124" s="19" t="n"/>
      <c r="O124" s="19" t="n"/>
      <c r="P124" s="19" t="n"/>
      <c r="Q124" s="19" t="n"/>
      <c r="R124" s="19" t="n"/>
      <c r="S124" s="19" t="n"/>
      <c r="T124" s="20">
        <f>IF(COUNTA(M124:S124)=0,"",SUM(M124:S124))</f>
        <v/>
      </c>
      <c r="U124" s="20">
        <f>IF(T124="","",IF(T124&gt;=10,"Apply/Pursue",IF(T124=9,"Review","Reject")))</f>
        <v/>
      </c>
      <c r="V124" s="17" t="n"/>
      <c r="W124" s="21" t="n"/>
      <c r="X124" s="17" t="n"/>
      <c r="Y124" s="21" t="n"/>
      <c r="Z124" s="22" t="n"/>
      <c r="AA124" s="23">
        <f>IF(OR(L124="",Z124=""),"",L124*Z124)</f>
        <v/>
      </c>
      <c r="AB124" s="17" t="n"/>
      <c r="A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8" t="n"/>
      <c r="M125" s="19" t="n"/>
      <c r="N125" s="19" t="n"/>
      <c r="O125" s="19" t="n"/>
      <c r="P125" s="19" t="n"/>
      <c r="Q125" s="19" t="n"/>
      <c r="R125" s="19" t="n"/>
      <c r="S125" s="19" t="n"/>
      <c r="T125" s="20">
        <f>IF(COUNTA(M125:S125)=0,"",SUM(M125:S125))</f>
        <v/>
      </c>
      <c r="U125" s="20">
        <f>IF(T125="","",IF(T125&gt;=10,"Apply/Pursue",IF(T125=9,"Review","Reject")))</f>
        <v/>
      </c>
      <c r="V125" s="17" t="n"/>
      <c r="W125" s="21" t="n"/>
      <c r="X125" s="17" t="n"/>
      <c r="Y125" s="21" t="n"/>
      <c r="Z125" s="22" t="n"/>
      <c r="AA125" s="23">
        <f>IF(OR(L125="",Z125=""),"",L125*Z125)</f>
        <v/>
      </c>
      <c r="AB125" s="17" t="n"/>
      <c r="A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8" t="n"/>
      <c r="M126" s="19" t="n"/>
      <c r="N126" s="19" t="n"/>
      <c r="O126" s="19" t="n"/>
      <c r="P126" s="19" t="n"/>
      <c r="Q126" s="19" t="n"/>
      <c r="R126" s="19" t="n"/>
      <c r="S126" s="19" t="n"/>
      <c r="T126" s="20">
        <f>IF(COUNTA(M126:S126)=0,"",SUM(M126:S126))</f>
        <v/>
      </c>
      <c r="U126" s="20">
        <f>IF(T126="","",IF(T126&gt;=10,"Apply/Pursue",IF(T126=9,"Review","Reject")))</f>
        <v/>
      </c>
      <c r="V126" s="17" t="n"/>
      <c r="W126" s="21" t="n"/>
      <c r="X126" s="17" t="n"/>
      <c r="Y126" s="21" t="n"/>
      <c r="Z126" s="22" t="n"/>
      <c r="AA126" s="23">
        <f>IF(OR(L126="",Z126=""),"",L126*Z126)</f>
        <v/>
      </c>
      <c r="AB126" s="17" t="n"/>
      <c r="A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8" t="n"/>
      <c r="M127" s="19" t="n"/>
      <c r="N127" s="19" t="n"/>
      <c r="O127" s="19" t="n"/>
      <c r="P127" s="19" t="n"/>
      <c r="Q127" s="19" t="n"/>
      <c r="R127" s="19" t="n"/>
      <c r="S127" s="19" t="n"/>
      <c r="T127" s="20">
        <f>IF(COUNTA(M127:S127)=0,"",SUM(M127:S127))</f>
        <v/>
      </c>
      <c r="U127" s="20">
        <f>IF(T127="","",IF(T127&gt;=10,"Apply/Pursue",IF(T127=9,"Review","Reject")))</f>
        <v/>
      </c>
      <c r="V127" s="17" t="n"/>
      <c r="W127" s="21" t="n"/>
      <c r="X127" s="17" t="n"/>
      <c r="Y127" s="21" t="n"/>
      <c r="Z127" s="22" t="n"/>
      <c r="AA127" s="23">
        <f>IF(OR(L127="",Z127=""),"",L127*Z127)</f>
        <v/>
      </c>
      <c r="AB127" s="17" t="n"/>
      <c r="A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8" t="n"/>
      <c r="M128" s="19" t="n"/>
      <c r="N128" s="19" t="n"/>
      <c r="O128" s="19" t="n"/>
      <c r="P128" s="19" t="n"/>
      <c r="Q128" s="19" t="n"/>
      <c r="R128" s="19" t="n"/>
      <c r="S128" s="19" t="n"/>
      <c r="T128" s="20">
        <f>IF(COUNTA(M128:S128)=0,"",SUM(M128:S128))</f>
        <v/>
      </c>
      <c r="U128" s="20">
        <f>IF(T128="","",IF(T128&gt;=10,"Apply/Pursue",IF(T128=9,"Review","Reject")))</f>
        <v/>
      </c>
      <c r="V128" s="17" t="n"/>
      <c r="W128" s="21" t="n"/>
      <c r="X128" s="17" t="n"/>
      <c r="Y128" s="21" t="n"/>
      <c r="Z128" s="22" t="n"/>
      <c r="AA128" s="23">
        <f>IF(OR(L128="",Z128=""),"",L128*Z128)</f>
        <v/>
      </c>
      <c r="AB128" s="17" t="n"/>
      <c r="A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8" t="n"/>
      <c r="M129" s="19" t="n"/>
      <c r="N129" s="19" t="n"/>
      <c r="O129" s="19" t="n"/>
      <c r="P129" s="19" t="n"/>
      <c r="Q129" s="19" t="n"/>
      <c r="R129" s="19" t="n"/>
      <c r="S129" s="19" t="n"/>
      <c r="T129" s="20">
        <f>IF(COUNTA(M129:S129)=0,"",SUM(M129:S129))</f>
        <v/>
      </c>
      <c r="U129" s="20">
        <f>IF(T129="","",IF(T129&gt;=10,"Apply/Pursue",IF(T129=9,"Review","Reject")))</f>
        <v/>
      </c>
      <c r="V129" s="17" t="n"/>
      <c r="W129" s="21" t="n"/>
      <c r="X129" s="17" t="n"/>
      <c r="Y129" s="21" t="n"/>
      <c r="Z129" s="22" t="n"/>
      <c r="AA129" s="23">
        <f>IF(OR(L129="",Z129=""),"",L129*Z129)</f>
        <v/>
      </c>
      <c r="AB129" s="17" t="n"/>
      <c r="A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8" t="n"/>
      <c r="M130" s="19" t="n"/>
      <c r="N130" s="19" t="n"/>
      <c r="O130" s="19" t="n"/>
      <c r="P130" s="19" t="n"/>
      <c r="Q130" s="19" t="n"/>
      <c r="R130" s="19" t="n"/>
      <c r="S130" s="19" t="n"/>
      <c r="T130" s="20">
        <f>IF(COUNTA(M130:S130)=0,"",SUM(M130:S130))</f>
        <v/>
      </c>
      <c r="U130" s="20">
        <f>IF(T130="","",IF(T130&gt;=10,"Apply/Pursue",IF(T130=9,"Review","Reject")))</f>
        <v/>
      </c>
      <c r="V130" s="17" t="n"/>
      <c r="W130" s="21" t="n"/>
      <c r="X130" s="17" t="n"/>
      <c r="Y130" s="21" t="n"/>
      <c r="Z130" s="22" t="n"/>
      <c r="AA130" s="23">
        <f>IF(OR(L130="",Z130=""),"",L130*Z130)</f>
        <v/>
      </c>
      <c r="AB130" s="17" t="n"/>
      <c r="A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8" t="n"/>
      <c r="M131" s="19" t="n"/>
      <c r="N131" s="19" t="n"/>
      <c r="O131" s="19" t="n"/>
      <c r="P131" s="19" t="n"/>
      <c r="Q131" s="19" t="n"/>
      <c r="R131" s="19" t="n"/>
      <c r="S131" s="19" t="n"/>
      <c r="T131" s="20">
        <f>IF(COUNTA(M131:S131)=0,"",SUM(M131:S131))</f>
        <v/>
      </c>
      <c r="U131" s="20">
        <f>IF(T131="","",IF(T131&gt;=10,"Apply/Pursue",IF(T131=9,"Review","Reject")))</f>
        <v/>
      </c>
      <c r="V131" s="17" t="n"/>
      <c r="W131" s="21" t="n"/>
      <c r="X131" s="17" t="n"/>
      <c r="Y131" s="21" t="n"/>
      <c r="Z131" s="22" t="n"/>
      <c r="AA131" s="23">
        <f>IF(OR(L131="",Z131=""),"",L131*Z131)</f>
        <v/>
      </c>
      <c r="AB131" s="17" t="n"/>
      <c r="A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8" t="n"/>
      <c r="M132" s="19" t="n"/>
      <c r="N132" s="19" t="n"/>
      <c r="O132" s="19" t="n"/>
      <c r="P132" s="19" t="n"/>
      <c r="Q132" s="19" t="n"/>
      <c r="R132" s="19" t="n"/>
      <c r="S132" s="19" t="n"/>
      <c r="T132" s="20">
        <f>IF(COUNTA(M132:S132)=0,"",SUM(M132:S132))</f>
        <v/>
      </c>
      <c r="U132" s="20">
        <f>IF(T132="","",IF(T132&gt;=10,"Apply/Pursue",IF(T132=9,"Review","Reject")))</f>
        <v/>
      </c>
      <c r="V132" s="17" t="n"/>
      <c r="W132" s="21" t="n"/>
      <c r="X132" s="17" t="n"/>
      <c r="Y132" s="21" t="n"/>
      <c r="Z132" s="22" t="n"/>
      <c r="AA132" s="23">
        <f>IF(OR(L132="",Z132=""),"",L132*Z132)</f>
        <v/>
      </c>
      <c r="AB132" s="17" t="n"/>
      <c r="A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8" t="n"/>
      <c r="M133" s="19" t="n"/>
      <c r="N133" s="19" t="n"/>
      <c r="O133" s="19" t="n"/>
      <c r="P133" s="19" t="n"/>
      <c r="Q133" s="19" t="n"/>
      <c r="R133" s="19" t="n"/>
      <c r="S133" s="19" t="n"/>
      <c r="T133" s="20">
        <f>IF(COUNTA(M133:S133)=0,"",SUM(M133:S133))</f>
        <v/>
      </c>
      <c r="U133" s="20">
        <f>IF(T133="","",IF(T133&gt;=10,"Apply/Pursue",IF(T133=9,"Review","Reject")))</f>
        <v/>
      </c>
      <c r="V133" s="17" t="n"/>
      <c r="W133" s="21" t="n"/>
      <c r="X133" s="17" t="n"/>
      <c r="Y133" s="21" t="n"/>
      <c r="Z133" s="22" t="n"/>
      <c r="AA133" s="23">
        <f>IF(OR(L133="",Z133=""),"",L133*Z133)</f>
        <v/>
      </c>
      <c r="AB133" s="17" t="n"/>
      <c r="A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8" t="n"/>
      <c r="M134" s="19" t="n"/>
      <c r="N134" s="19" t="n"/>
      <c r="O134" s="19" t="n"/>
      <c r="P134" s="19" t="n"/>
      <c r="Q134" s="19" t="n"/>
      <c r="R134" s="19" t="n"/>
      <c r="S134" s="19" t="n"/>
      <c r="T134" s="20">
        <f>IF(COUNTA(M134:S134)=0,"",SUM(M134:S134))</f>
        <v/>
      </c>
      <c r="U134" s="20">
        <f>IF(T134="","",IF(T134&gt;=10,"Apply/Pursue",IF(T134=9,"Review","Reject")))</f>
        <v/>
      </c>
      <c r="V134" s="17" t="n"/>
      <c r="W134" s="21" t="n"/>
      <c r="X134" s="17" t="n"/>
      <c r="Y134" s="21" t="n"/>
      <c r="Z134" s="22" t="n"/>
      <c r="AA134" s="23">
        <f>IF(OR(L134="",Z134=""),"",L134*Z134)</f>
        <v/>
      </c>
      <c r="AB134" s="17" t="n"/>
      <c r="A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8" t="n"/>
      <c r="M135" s="19" t="n"/>
      <c r="N135" s="19" t="n"/>
      <c r="O135" s="19" t="n"/>
      <c r="P135" s="19" t="n"/>
      <c r="Q135" s="19" t="n"/>
      <c r="R135" s="19" t="n"/>
      <c r="S135" s="19" t="n"/>
      <c r="T135" s="20">
        <f>IF(COUNTA(M135:S135)=0,"",SUM(M135:S135))</f>
        <v/>
      </c>
      <c r="U135" s="20">
        <f>IF(T135="","",IF(T135&gt;=10,"Apply/Pursue",IF(T135=9,"Review","Reject")))</f>
        <v/>
      </c>
      <c r="V135" s="17" t="n"/>
      <c r="W135" s="21" t="n"/>
      <c r="X135" s="17" t="n"/>
      <c r="Y135" s="21" t="n"/>
      <c r="Z135" s="22" t="n"/>
      <c r="AA135" s="23">
        <f>IF(OR(L135="",Z135=""),"",L135*Z135)</f>
        <v/>
      </c>
      <c r="AB135" s="17" t="n"/>
      <c r="A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8" t="n"/>
      <c r="M136" s="19" t="n"/>
      <c r="N136" s="19" t="n"/>
      <c r="O136" s="19" t="n"/>
      <c r="P136" s="19" t="n"/>
      <c r="Q136" s="19" t="n"/>
      <c r="R136" s="19" t="n"/>
      <c r="S136" s="19" t="n"/>
      <c r="T136" s="20">
        <f>IF(COUNTA(M136:S136)=0,"",SUM(M136:S136))</f>
        <v/>
      </c>
      <c r="U136" s="20">
        <f>IF(T136="","",IF(T136&gt;=10,"Apply/Pursue",IF(T136=9,"Review","Reject")))</f>
        <v/>
      </c>
      <c r="V136" s="17" t="n"/>
      <c r="W136" s="21" t="n"/>
      <c r="X136" s="17" t="n"/>
      <c r="Y136" s="21" t="n"/>
      <c r="Z136" s="22" t="n"/>
      <c r="AA136" s="23">
        <f>IF(OR(L136="",Z136=""),"",L136*Z136)</f>
        <v/>
      </c>
      <c r="AB136" s="17" t="n"/>
      <c r="A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8" t="n"/>
      <c r="M137" s="19" t="n"/>
      <c r="N137" s="19" t="n"/>
      <c r="O137" s="19" t="n"/>
      <c r="P137" s="19" t="n"/>
      <c r="Q137" s="19" t="n"/>
      <c r="R137" s="19" t="n"/>
      <c r="S137" s="19" t="n"/>
      <c r="T137" s="20">
        <f>IF(COUNTA(M137:S137)=0,"",SUM(M137:S137))</f>
        <v/>
      </c>
      <c r="U137" s="20">
        <f>IF(T137="","",IF(T137&gt;=10,"Apply/Pursue",IF(T137=9,"Review","Reject")))</f>
        <v/>
      </c>
      <c r="V137" s="17" t="n"/>
      <c r="W137" s="21" t="n"/>
      <c r="X137" s="17" t="n"/>
      <c r="Y137" s="21" t="n"/>
      <c r="Z137" s="22" t="n"/>
      <c r="AA137" s="23">
        <f>IF(OR(L137="",Z137=""),"",L137*Z137)</f>
        <v/>
      </c>
      <c r="AB137" s="17" t="n"/>
      <c r="A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8" t="n"/>
      <c r="M138" s="19" t="n"/>
      <c r="N138" s="19" t="n"/>
      <c r="O138" s="19" t="n"/>
      <c r="P138" s="19" t="n"/>
      <c r="Q138" s="19" t="n"/>
      <c r="R138" s="19" t="n"/>
      <c r="S138" s="19" t="n"/>
      <c r="T138" s="20">
        <f>IF(COUNTA(M138:S138)=0,"",SUM(M138:S138))</f>
        <v/>
      </c>
      <c r="U138" s="20">
        <f>IF(T138="","",IF(T138&gt;=10,"Apply/Pursue",IF(T138=9,"Review","Reject")))</f>
        <v/>
      </c>
      <c r="V138" s="17" t="n"/>
      <c r="W138" s="21" t="n"/>
      <c r="X138" s="17" t="n"/>
      <c r="Y138" s="21" t="n"/>
      <c r="Z138" s="22" t="n"/>
      <c r="AA138" s="23">
        <f>IF(OR(L138="",Z138=""),"",L138*Z138)</f>
        <v/>
      </c>
      <c r="AB138" s="17" t="n"/>
      <c r="A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8" t="n"/>
      <c r="M139" s="19" t="n"/>
      <c r="N139" s="19" t="n"/>
      <c r="O139" s="19" t="n"/>
      <c r="P139" s="19" t="n"/>
      <c r="Q139" s="19" t="n"/>
      <c r="R139" s="19" t="n"/>
      <c r="S139" s="19" t="n"/>
      <c r="T139" s="20">
        <f>IF(COUNTA(M139:S139)=0,"",SUM(M139:S139))</f>
        <v/>
      </c>
      <c r="U139" s="20">
        <f>IF(T139="","",IF(T139&gt;=10,"Apply/Pursue",IF(T139=9,"Review","Reject")))</f>
        <v/>
      </c>
      <c r="V139" s="17" t="n"/>
      <c r="W139" s="21" t="n"/>
      <c r="X139" s="17" t="n"/>
      <c r="Y139" s="21" t="n"/>
      <c r="Z139" s="22" t="n"/>
      <c r="AA139" s="23">
        <f>IF(OR(L139="",Z139=""),"",L139*Z139)</f>
        <v/>
      </c>
      <c r="AB139" s="17" t="n"/>
      <c r="A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8" t="n"/>
      <c r="M140" s="19" t="n"/>
      <c r="N140" s="19" t="n"/>
      <c r="O140" s="19" t="n"/>
      <c r="P140" s="19" t="n"/>
      <c r="Q140" s="19" t="n"/>
      <c r="R140" s="19" t="n"/>
      <c r="S140" s="19" t="n"/>
      <c r="T140" s="20">
        <f>IF(COUNTA(M140:S140)=0,"",SUM(M140:S140))</f>
        <v/>
      </c>
      <c r="U140" s="20">
        <f>IF(T140="","",IF(T140&gt;=10,"Apply/Pursue",IF(T140=9,"Review","Reject")))</f>
        <v/>
      </c>
      <c r="V140" s="17" t="n"/>
      <c r="W140" s="21" t="n"/>
      <c r="X140" s="17" t="n"/>
      <c r="Y140" s="21" t="n"/>
      <c r="Z140" s="22" t="n"/>
      <c r="AA140" s="23">
        <f>IF(OR(L140="",Z140=""),"",L140*Z140)</f>
        <v/>
      </c>
      <c r="AB140" s="17" t="n"/>
      <c r="A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8" t="n"/>
      <c r="M141" s="19" t="n"/>
      <c r="N141" s="19" t="n"/>
      <c r="O141" s="19" t="n"/>
      <c r="P141" s="19" t="n"/>
      <c r="Q141" s="19" t="n"/>
      <c r="R141" s="19" t="n"/>
      <c r="S141" s="19" t="n"/>
      <c r="T141" s="20">
        <f>IF(COUNTA(M141:S141)=0,"",SUM(M141:S141))</f>
        <v/>
      </c>
      <c r="U141" s="20">
        <f>IF(T141="","",IF(T141&gt;=10,"Apply/Pursue",IF(T141=9,"Review","Reject")))</f>
        <v/>
      </c>
      <c r="V141" s="17" t="n"/>
      <c r="W141" s="21" t="n"/>
      <c r="X141" s="17" t="n"/>
      <c r="Y141" s="21" t="n"/>
      <c r="Z141" s="22" t="n"/>
      <c r="AA141" s="23">
        <f>IF(OR(L141="",Z141=""),"",L141*Z141)</f>
        <v/>
      </c>
      <c r="AB141" s="17" t="n"/>
      <c r="A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8" t="n"/>
      <c r="M142" s="19" t="n"/>
      <c r="N142" s="19" t="n"/>
      <c r="O142" s="19" t="n"/>
      <c r="P142" s="19" t="n"/>
      <c r="Q142" s="19" t="n"/>
      <c r="R142" s="19" t="n"/>
      <c r="S142" s="19" t="n"/>
      <c r="T142" s="20">
        <f>IF(COUNTA(M142:S142)=0,"",SUM(M142:S142))</f>
        <v/>
      </c>
      <c r="U142" s="20">
        <f>IF(T142="","",IF(T142&gt;=10,"Apply/Pursue",IF(T142=9,"Review","Reject")))</f>
        <v/>
      </c>
      <c r="V142" s="17" t="n"/>
      <c r="W142" s="21" t="n"/>
      <c r="X142" s="17" t="n"/>
      <c r="Y142" s="21" t="n"/>
      <c r="Z142" s="22" t="n"/>
      <c r="AA142" s="23">
        <f>IF(OR(L142="",Z142=""),"",L142*Z142)</f>
        <v/>
      </c>
      <c r="AB142" s="17" t="n"/>
      <c r="A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8" t="n"/>
      <c r="M143" s="19" t="n"/>
      <c r="N143" s="19" t="n"/>
      <c r="O143" s="19" t="n"/>
      <c r="P143" s="19" t="n"/>
      <c r="Q143" s="19" t="n"/>
      <c r="R143" s="19" t="n"/>
      <c r="S143" s="19" t="n"/>
      <c r="T143" s="20">
        <f>IF(COUNTA(M143:S143)=0,"",SUM(M143:S143))</f>
        <v/>
      </c>
      <c r="U143" s="20">
        <f>IF(T143="","",IF(T143&gt;=10,"Apply/Pursue",IF(T143=9,"Review","Reject")))</f>
        <v/>
      </c>
      <c r="V143" s="17" t="n"/>
      <c r="W143" s="21" t="n"/>
      <c r="X143" s="17" t="n"/>
      <c r="Y143" s="21" t="n"/>
      <c r="Z143" s="22" t="n"/>
      <c r="AA143" s="23">
        <f>IF(OR(L143="",Z143=""),"",L143*Z143)</f>
        <v/>
      </c>
      <c r="AB143" s="17" t="n"/>
      <c r="A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8" t="n"/>
      <c r="M144" s="19" t="n"/>
      <c r="N144" s="19" t="n"/>
      <c r="O144" s="19" t="n"/>
      <c r="P144" s="19" t="n"/>
      <c r="Q144" s="19" t="n"/>
      <c r="R144" s="19" t="n"/>
      <c r="S144" s="19" t="n"/>
      <c r="T144" s="20">
        <f>IF(COUNTA(M144:S144)=0,"",SUM(M144:S144))</f>
        <v/>
      </c>
      <c r="U144" s="20">
        <f>IF(T144="","",IF(T144&gt;=10,"Apply/Pursue",IF(T144=9,"Review","Reject")))</f>
        <v/>
      </c>
      <c r="V144" s="17" t="n"/>
      <c r="W144" s="21" t="n"/>
      <c r="X144" s="17" t="n"/>
      <c r="Y144" s="21" t="n"/>
      <c r="Z144" s="22" t="n"/>
      <c r="AA144" s="23">
        <f>IF(OR(L144="",Z144=""),"",L144*Z144)</f>
        <v/>
      </c>
      <c r="AB144" s="17" t="n"/>
      <c r="A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8" t="n"/>
      <c r="M145" s="19" t="n"/>
      <c r="N145" s="19" t="n"/>
      <c r="O145" s="19" t="n"/>
      <c r="P145" s="19" t="n"/>
      <c r="Q145" s="19" t="n"/>
      <c r="R145" s="19" t="n"/>
      <c r="S145" s="19" t="n"/>
      <c r="T145" s="20">
        <f>IF(COUNTA(M145:S145)=0,"",SUM(M145:S145))</f>
        <v/>
      </c>
      <c r="U145" s="20">
        <f>IF(T145="","",IF(T145&gt;=10,"Apply/Pursue",IF(T145=9,"Review","Reject")))</f>
        <v/>
      </c>
      <c r="V145" s="17" t="n"/>
      <c r="W145" s="21" t="n"/>
      <c r="X145" s="17" t="n"/>
      <c r="Y145" s="21" t="n"/>
      <c r="Z145" s="22" t="n"/>
      <c r="AA145" s="23">
        <f>IF(OR(L145="",Z145=""),"",L145*Z145)</f>
        <v/>
      </c>
      <c r="AB145" s="17" t="n"/>
      <c r="A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8" t="n"/>
      <c r="M146" s="19" t="n"/>
      <c r="N146" s="19" t="n"/>
      <c r="O146" s="19" t="n"/>
      <c r="P146" s="19" t="n"/>
      <c r="Q146" s="19" t="n"/>
      <c r="R146" s="19" t="n"/>
      <c r="S146" s="19" t="n"/>
      <c r="T146" s="20">
        <f>IF(COUNTA(M146:S146)=0,"",SUM(M146:S146))</f>
        <v/>
      </c>
      <c r="U146" s="20">
        <f>IF(T146="","",IF(T146&gt;=10,"Apply/Pursue",IF(T146=9,"Review","Reject")))</f>
        <v/>
      </c>
      <c r="V146" s="17" t="n"/>
      <c r="W146" s="21" t="n"/>
      <c r="X146" s="17" t="n"/>
      <c r="Y146" s="21" t="n"/>
      <c r="Z146" s="22" t="n"/>
      <c r="AA146" s="23">
        <f>IF(OR(L146="",Z146=""),"",L146*Z146)</f>
        <v/>
      </c>
      <c r="AB146" s="17" t="n"/>
      <c r="A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8" t="n"/>
      <c r="M147" s="19" t="n"/>
      <c r="N147" s="19" t="n"/>
      <c r="O147" s="19" t="n"/>
      <c r="P147" s="19" t="n"/>
      <c r="Q147" s="19" t="n"/>
      <c r="R147" s="19" t="n"/>
      <c r="S147" s="19" t="n"/>
      <c r="T147" s="20">
        <f>IF(COUNTA(M147:S147)=0,"",SUM(M147:S147))</f>
        <v/>
      </c>
      <c r="U147" s="20">
        <f>IF(T147="","",IF(T147&gt;=10,"Apply/Pursue",IF(T147=9,"Review","Reject")))</f>
        <v/>
      </c>
      <c r="V147" s="17" t="n"/>
      <c r="W147" s="21" t="n"/>
      <c r="X147" s="17" t="n"/>
      <c r="Y147" s="21" t="n"/>
      <c r="Z147" s="22" t="n"/>
      <c r="AA147" s="23">
        <f>IF(OR(L147="",Z147=""),"",L147*Z147)</f>
        <v/>
      </c>
      <c r="AB147" s="17" t="n"/>
      <c r="A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8" t="n"/>
      <c r="M148" s="19" t="n"/>
      <c r="N148" s="19" t="n"/>
      <c r="O148" s="19" t="n"/>
      <c r="P148" s="19" t="n"/>
      <c r="Q148" s="19" t="n"/>
      <c r="R148" s="19" t="n"/>
      <c r="S148" s="19" t="n"/>
      <c r="T148" s="20">
        <f>IF(COUNTA(M148:S148)=0,"",SUM(M148:S148))</f>
        <v/>
      </c>
      <c r="U148" s="20">
        <f>IF(T148="","",IF(T148&gt;=10,"Apply/Pursue",IF(T148=9,"Review","Reject")))</f>
        <v/>
      </c>
      <c r="V148" s="17" t="n"/>
      <c r="W148" s="21" t="n"/>
      <c r="X148" s="17" t="n"/>
      <c r="Y148" s="21" t="n"/>
      <c r="Z148" s="22" t="n"/>
      <c r="AA148" s="23">
        <f>IF(OR(L148="",Z148=""),"",L148*Z148)</f>
        <v/>
      </c>
      <c r="AB148" s="17" t="n"/>
      <c r="A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8" t="n"/>
      <c r="M149" s="19" t="n"/>
      <c r="N149" s="19" t="n"/>
      <c r="O149" s="19" t="n"/>
      <c r="P149" s="19" t="n"/>
      <c r="Q149" s="19" t="n"/>
      <c r="R149" s="19" t="n"/>
      <c r="S149" s="19" t="n"/>
      <c r="T149" s="20">
        <f>IF(COUNTA(M149:S149)=0,"",SUM(M149:S149))</f>
        <v/>
      </c>
      <c r="U149" s="20">
        <f>IF(T149="","",IF(T149&gt;=10,"Apply/Pursue",IF(T149=9,"Review","Reject")))</f>
        <v/>
      </c>
      <c r="V149" s="17" t="n"/>
      <c r="W149" s="21" t="n"/>
      <c r="X149" s="17" t="n"/>
      <c r="Y149" s="21" t="n"/>
      <c r="Z149" s="22" t="n"/>
      <c r="AA149" s="23">
        <f>IF(OR(L149="",Z149=""),"",L149*Z149)</f>
        <v/>
      </c>
      <c r="AB149" s="17" t="n"/>
      <c r="A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8" t="n"/>
      <c r="M150" s="19" t="n"/>
      <c r="N150" s="19" t="n"/>
      <c r="O150" s="19" t="n"/>
      <c r="P150" s="19" t="n"/>
      <c r="Q150" s="19" t="n"/>
      <c r="R150" s="19" t="n"/>
      <c r="S150" s="19" t="n"/>
      <c r="T150" s="20">
        <f>IF(COUNTA(M150:S150)=0,"",SUM(M150:S150))</f>
        <v/>
      </c>
      <c r="U150" s="20">
        <f>IF(T150="","",IF(T150&gt;=10,"Apply/Pursue",IF(T150=9,"Review","Reject")))</f>
        <v/>
      </c>
      <c r="V150" s="17" t="n"/>
      <c r="W150" s="21" t="n"/>
      <c r="X150" s="17" t="n"/>
      <c r="Y150" s="21" t="n"/>
      <c r="Z150" s="22" t="n"/>
      <c r="AA150" s="23">
        <f>IF(OR(L150="",Z150=""),"",L150*Z150)</f>
        <v/>
      </c>
      <c r="AB150" s="17" t="n"/>
      <c r="A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8" t="n"/>
      <c r="M151" s="19" t="n"/>
      <c r="N151" s="19" t="n"/>
      <c r="O151" s="19" t="n"/>
      <c r="P151" s="19" t="n"/>
      <c r="Q151" s="19" t="n"/>
      <c r="R151" s="19" t="n"/>
      <c r="S151" s="19" t="n"/>
      <c r="T151" s="20">
        <f>IF(COUNTA(M151:S151)=0,"",SUM(M151:S151))</f>
        <v/>
      </c>
      <c r="U151" s="20">
        <f>IF(T151="","",IF(T151&gt;=10,"Apply/Pursue",IF(T151=9,"Review","Reject")))</f>
        <v/>
      </c>
      <c r="V151" s="17" t="n"/>
      <c r="W151" s="21" t="n"/>
      <c r="X151" s="17" t="n"/>
      <c r="Y151" s="21" t="n"/>
      <c r="Z151" s="22" t="n"/>
      <c r="AA151" s="23">
        <f>IF(OR(L151="",Z151=""),"",L151*Z151)</f>
        <v/>
      </c>
      <c r="AB151" s="17" t="n"/>
      <c r="A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8" t="n"/>
      <c r="M152" s="19" t="n"/>
      <c r="N152" s="19" t="n"/>
      <c r="O152" s="19" t="n"/>
      <c r="P152" s="19" t="n"/>
      <c r="Q152" s="19" t="n"/>
      <c r="R152" s="19" t="n"/>
      <c r="S152" s="19" t="n"/>
      <c r="T152" s="20">
        <f>IF(COUNTA(M152:S152)=0,"",SUM(M152:S152))</f>
        <v/>
      </c>
      <c r="U152" s="20">
        <f>IF(T152="","",IF(T152&gt;=10,"Apply/Pursue",IF(T152=9,"Review","Reject")))</f>
        <v/>
      </c>
      <c r="V152" s="17" t="n"/>
      <c r="W152" s="21" t="n"/>
      <c r="X152" s="17" t="n"/>
      <c r="Y152" s="21" t="n"/>
      <c r="Z152" s="22" t="n"/>
      <c r="AA152" s="23">
        <f>IF(OR(L152="",Z152=""),"",L152*Z152)</f>
        <v/>
      </c>
      <c r="AB152" s="17" t="n"/>
      <c r="A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8" t="n"/>
      <c r="M153" s="19" t="n"/>
      <c r="N153" s="19" t="n"/>
      <c r="O153" s="19" t="n"/>
      <c r="P153" s="19" t="n"/>
      <c r="Q153" s="19" t="n"/>
      <c r="R153" s="19" t="n"/>
      <c r="S153" s="19" t="n"/>
      <c r="T153" s="20">
        <f>IF(COUNTA(M153:S153)=0,"",SUM(M153:S153))</f>
        <v/>
      </c>
      <c r="U153" s="20">
        <f>IF(T153="","",IF(T153&gt;=10,"Apply/Pursue",IF(T153=9,"Review","Reject")))</f>
        <v/>
      </c>
      <c r="V153" s="17" t="n"/>
      <c r="W153" s="21" t="n"/>
      <c r="X153" s="17" t="n"/>
      <c r="Y153" s="21" t="n"/>
      <c r="Z153" s="22" t="n"/>
      <c r="AA153" s="23">
        <f>IF(OR(L153="",Z153=""),"",L153*Z153)</f>
        <v/>
      </c>
      <c r="AB153" s="17" t="n"/>
      <c r="A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8" t="n"/>
      <c r="M154" s="19" t="n"/>
      <c r="N154" s="19" t="n"/>
      <c r="O154" s="19" t="n"/>
      <c r="P154" s="19" t="n"/>
      <c r="Q154" s="19" t="n"/>
      <c r="R154" s="19" t="n"/>
      <c r="S154" s="19" t="n"/>
      <c r="T154" s="20">
        <f>IF(COUNTA(M154:S154)=0,"",SUM(M154:S154))</f>
        <v/>
      </c>
      <c r="U154" s="20">
        <f>IF(T154="","",IF(T154&gt;=10,"Apply/Pursue",IF(T154=9,"Review","Reject")))</f>
        <v/>
      </c>
      <c r="V154" s="17" t="n"/>
      <c r="W154" s="21" t="n"/>
      <c r="X154" s="17" t="n"/>
      <c r="Y154" s="21" t="n"/>
      <c r="Z154" s="22" t="n"/>
      <c r="AA154" s="23">
        <f>IF(OR(L154="",Z154=""),"",L154*Z154)</f>
        <v/>
      </c>
      <c r="AB154" s="17" t="n"/>
      <c r="A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8" t="n"/>
      <c r="M155" s="19" t="n"/>
      <c r="N155" s="19" t="n"/>
      <c r="O155" s="19" t="n"/>
      <c r="P155" s="19" t="n"/>
      <c r="Q155" s="19" t="n"/>
      <c r="R155" s="19" t="n"/>
      <c r="S155" s="19" t="n"/>
      <c r="T155" s="20">
        <f>IF(COUNTA(M155:S155)=0,"",SUM(M155:S155))</f>
        <v/>
      </c>
      <c r="U155" s="20">
        <f>IF(T155="","",IF(T155&gt;=10,"Apply/Pursue",IF(T155=9,"Review","Reject")))</f>
        <v/>
      </c>
      <c r="V155" s="17" t="n"/>
      <c r="W155" s="21" t="n"/>
      <c r="X155" s="17" t="n"/>
      <c r="Y155" s="21" t="n"/>
      <c r="Z155" s="22" t="n"/>
      <c r="AA155" s="23">
        <f>IF(OR(L155="",Z155=""),"",L155*Z155)</f>
        <v/>
      </c>
      <c r="AB155" s="17" t="n"/>
      <c r="A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8" t="n"/>
      <c r="M156" s="19" t="n"/>
      <c r="N156" s="19" t="n"/>
      <c r="O156" s="19" t="n"/>
      <c r="P156" s="19" t="n"/>
      <c r="Q156" s="19" t="n"/>
      <c r="R156" s="19" t="n"/>
      <c r="S156" s="19" t="n"/>
      <c r="T156" s="20">
        <f>IF(COUNTA(M156:S156)=0,"",SUM(M156:S156))</f>
        <v/>
      </c>
      <c r="U156" s="20">
        <f>IF(T156="","",IF(T156&gt;=10,"Apply/Pursue",IF(T156=9,"Review","Reject")))</f>
        <v/>
      </c>
      <c r="V156" s="17" t="n"/>
      <c r="W156" s="21" t="n"/>
      <c r="X156" s="17" t="n"/>
      <c r="Y156" s="21" t="n"/>
      <c r="Z156" s="22" t="n"/>
      <c r="AA156" s="23">
        <f>IF(OR(L156="",Z156=""),"",L156*Z156)</f>
        <v/>
      </c>
      <c r="AB156" s="17" t="n"/>
      <c r="A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8" t="n"/>
      <c r="M157" s="19" t="n"/>
      <c r="N157" s="19" t="n"/>
      <c r="O157" s="19" t="n"/>
      <c r="P157" s="19" t="n"/>
      <c r="Q157" s="19" t="n"/>
      <c r="R157" s="19" t="n"/>
      <c r="S157" s="19" t="n"/>
      <c r="T157" s="20">
        <f>IF(COUNTA(M157:S157)=0,"",SUM(M157:S157))</f>
        <v/>
      </c>
      <c r="U157" s="20">
        <f>IF(T157="","",IF(T157&gt;=10,"Apply/Pursue",IF(T157=9,"Review","Reject")))</f>
        <v/>
      </c>
      <c r="V157" s="17" t="n"/>
      <c r="W157" s="21" t="n"/>
      <c r="X157" s="17" t="n"/>
      <c r="Y157" s="21" t="n"/>
      <c r="Z157" s="22" t="n"/>
      <c r="AA157" s="23">
        <f>IF(OR(L157="",Z157=""),"",L157*Z157)</f>
        <v/>
      </c>
      <c r="AB157" s="17" t="n"/>
      <c r="A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8" t="n"/>
      <c r="M158" s="19" t="n"/>
      <c r="N158" s="19" t="n"/>
      <c r="O158" s="19" t="n"/>
      <c r="P158" s="19" t="n"/>
      <c r="Q158" s="19" t="n"/>
      <c r="R158" s="19" t="n"/>
      <c r="S158" s="19" t="n"/>
      <c r="T158" s="20">
        <f>IF(COUNTA(M158:S158)=0,"",SUM(M158:S158))</f>
        <v/>
      </c>
      <c r="U158" s="20">
        <f>IF(T158="","",IF(T158&gt;=10,"Apply/Pursue",IF(T158=9,"Review","Reject")))</f>
        <v/>
      </c>
      <c r="V158" s="17" t="n"/>
      <c r="W158" s="21" t="n"/>
      <c r="X158" s="17" t="n"/>
      <c r="Y158" s="21" t="n"/>
      <c r="Z158" s="22" t="n"/>
      <c r="AA158" s="23">
        <f>IF(OR(L158="",Z158=""),"",L158*Z158)</f>
        <v/>
      </c>
      <c r="AB158" s="17" t="n"/>
      <c r="A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8" t="n"/>
      <c r="M159" s="19" t="n"/>
      <c r="N159" s="19" t="n"/>
      <c r="O159" s="19" t="n"/>
      <c r="P159" s="19" t="n"/>
      <c r="Q159" s="19" t="n"/>
      <c r="R159" s="19" t="n"/>
      <c r="S159" s="19" t="n"/>
      <c r="T159" s="20">
        <f>IF(COUNTA(M159:S159)=0,"",SUM(M159:S159))</f>
        <v/>
      </c>
      <c r="U159" s="20">
        <f>IF(T159="","",IF(T159&gt;=10,"Apply/Pursue",IF(T159=9,"Review","Reject")))</f>
        <v/>
      </c>
      <c r="V159" s="17" t="n"/>
      <c r="W159" s="21" t="n"/>
      <c r="X159" s="17" t="n"/>
      <c r="Y159" s="21" t="n"/>
      <c r="Z159" s="22" t="n"/>
      <c r="AA159" s="23">
        <f>IF(OR(L159="",Z159=""),"",L159*Z159)</f>
        <v/>
      </c>
      <c r="AB159" s="17" t="n"/>
      <c r="A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8" t="n"/>
      <c r="M160" s="19" t="n"/>
      <c r="N160" s="19" t="n"/>
      <c r="O160" s="19" t="n"/>
      <c r="P160" s="19" t="n"/>
      <c r="Q160" s="19" t="n"/>
      <c r="R160" s="19" t="n"/>
      <c r="S160" s="19" t="n"/>
      <c r="T160" s="20">
        <f>IF(COUNTA(M160:S160)=0,"",SUM(M160:S160))</f>
        <v/>
      </c>
      <c r="U160" s="20">
        <f>IF(T160="","",IF(T160&gt;=10,"Apply/Pursue",IF(T160=9,"Review","Reject")))</f>
        <v/>
      </c>
      <c r="V160" s="17" t="n"/>
      <c r="W160" s="21" t="n"/>
      <c r="X160" s="17" t="n"/>
      <c r="Y160" s="21" t="n"/>
      <c r="Z160" s="22" t="n"/>
      <c r="AA160" s="23">
        <f>IF(OR(L160="",Z160=""),"",L160*Z160)</f>
        <v/>
      </c>
      <c r="AB160" s="17" t="n"/>
      <c r="A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8" t="n"/>
      <c r="M161" s="19" t="n"/>
      <c r="N161" s="19" t="n"/>
      <c r="O161" s="19" t="n"/>
      <c r="P161" s="19" t="n"/>
      <c r="Q161" s="19" t="n"/>
      <c r="R161" s="19" t="n"/>
      <c r="S161" s="19" t="n"/>
      <c r="T161" s="20">
        <f>IF(COUNTA(M161:S161)=0,"",SUM(M161:S161))</f>
        <v/>
      </c>
      <c r="U161" s="20">
        <f>IF(T161="","",IF(T161&gt;=10,"Apply/Pursue",IF(T161=9,"Review","Reject")))</f>
        <v/>
      </c>
      <c r="V161" s="17" t="n"/>
      <c r="W161" s="21" t="n"/>
      <c r="X161" s="17" t="n"/>
      <c r="Y161" s="21" t="n"/>
      <c r="Z161" s="22" t="n"/>
      <c r="AA161" s="23">
        <f>IF(OR(L161="",Z161=""),"",L161*Z161)</f>
        <v/>
      </c>
      <c r="AB161" s="17" t="n"/>
      <c r="A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8" t="n"/>
      <c r="M162" s="19" t="n"/>
      <c r="N162" s="19" t="n"/>
      <c r="O162" s="19" t="n"/>
      <c r="P162" s="19" t="n"/>
      <c r="Q162" s="19" t="n"/>
      <c r="R162" s="19" t="n"/>
      <c r="S162" s="19" t="n"/>
      <c r="T162" s="20">
        <f>IF(COUNTA(M162:S162)=0,"",SUM(M162:S162))</f>
        <v/>
      </c>
      <c r="U162" s="20">
        <f>IF(T162="","",IF(T162&gt;=10,"Apply/Pursue",IF(T162=9,"Review","Reject")))</f>
        <v/>
      </c>
      <c r="V162" s="17" t="n"/>
      <c r="W162" s="21" t="n"/>
      <c r="X162" s="17" t="n"/>
      <c r="Y162" s="21" t="n"/>
      <c r="Z162" s="22" t="n"/>
      <c r="AA162" s="23">
        <f>IF(OR(L162="",Z162=""),"",L162*Z162)</f>
        <v/>
      </c>
      <c r="AB162" s="17" t="n"/>
      <c r="A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8" t="n"/>
      <c r="M163" s="19" t="n"/>
      <c r="N163" s="19" t="n"/>
      <c r="O163" s="19" t="n"/>
      <c r="P163" s="19" t="n"/>
      <c r="Q163" s="19" t="n"/>
      <c r="R163" s="19" t="n"/>
      <c r="S163" s="19" t="n"/>
      <c r="T163" s="20">
        <f>IF(COUNTA(M163:S163)=0,"",SUM(M163:S163))</f>
        <v/>
      </c>
      <c r="U163" s="20">
        <f>IF(T163="","",IF(T163&gt;=10,"Apply/Pursue",IF(T163=9,"Review","Reject")))</f>
        <v/>
      </c>
      <c r="V163" s="17" t="n"/>
      <c r="W163" s="21" t="n"/>
      <c r="X163" s="17" t="n"/>
      <c r="Y163" s="21" t="n"/>
      <c r="Z163" s="22" t="n"/>
      <c r="AA163" s="23">
        <f>IF(OR(L163="",Z163=""),"",L163*Z163)</f>
        <v/>
      </c>
      <c r="AB163" s="17" t="n"/>
      <c r="A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8" t="n"/>
      <c r="M164" s="19" t="n"/>
      <c r="N164" s="19" t="n"/>
      <c r="O164" s="19" t="n"/>
      <c r="P164" s="19" t="n"/>
      <c r="Q164" s="19" t="n"/>
      <c r="R164" s="19" t="n"/>
      <c r="S164" s="19" t="n"/>
      <c r="T164" s="20">
        <f>IF(COUNTA(M164:S164)=0,"",SUM(M164:S164))</f>
        <v/>
      </c>
      <c r="U164" s="20">
        <f>IF(T164="","",IF(T164&gt;=10,"Apply/Pursue",IF(T164=9,"Review","Reject")))</f>
        <v/>
      </c>
      <c r="V164" s="17" t="n"/>
      <c r="W164" s="21" t="n"/>
      <c r="X164" s="17" t="n"/>
      <c r="Y164" s="21" t="n"/>
      <c r="Z164" s="22" t="n"/>
      <c r="AA164" s="23">
        <f>IF(OR(L164="",Z164=""),"",L164*Z164)</f>
        <v/>
      </c>
      <c r="AB164" s="17" t="n"/>
      <c r="A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8" t="n"/>
      <c r="M165" s="19" t="n"/>
      <c r="N165" s="19" t="n"/>
      <c r="O165" s="19" t="n"/>
      <c r="P165" s="19" t="n"/>
      <c r="Q165" s="19" t="n"/>
      <c r="R165" s="19" t="n"/>
      <c r="S165" s="19" t="n"/>
      <c r="T165" s="20">
        <f>IF(COUNTA(M165:S165)=0,"",SUM(M165:S165))</f>
        <v/>
      </c>
      <c r="U165" s="20">
        <f>IF(T165="","",IF(T165&gt;=10,"Apply/Pursue",IF(T165=9,"Review","Reject")))</f>
        <v/>
      </c>
      <c r="V165" s="17" t="n"/>
      <c r="W165" s="21" t="n"/>
      <c r="X165" s="17" t="n"/>
      <c r="Y165" s="21" t="n"/>
      <c r="Z165" s="22" t="n"/>
      <c r="AA165" s="23">
        <f>IF(OR(L165="",Z165=""),"",L165*Z165)</f>
        <v/>
      </c>
      <c r="AB165" s="17" t="n"/>
      <c r="A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8" t="n"/>
      <c r="M166" s="19" t="n"/>
      <c r="N166" s="19" t="n"/>
      <c r="O166" s="19" t="n"/>
      <c r="P166" s="19" t="n"/>
      <c r="Q166" s="19" t="n"/>
      <c r="R166" s="19" t="n"/>
      <c r="S166" s="19" t="n"/>
      <c r="T166" s="20">
        <f>IF(COUNTA(M166:S166)=0,"",SUM(M166:S166))</f>
        <v/>
      </c>
      <c r="U166" s="20">
        <f>IF(T166="","",IF(T166&gt;=10,"Apply/Pursue",IF(T166=9,"Review","Reject")))</f>
        <v/>
      </c>
      <c r="V166" s="17" t="n"/>
      <c r="W166" s="21" t="n"/>
      <c r="X166" s="17" t="n"/>
      <c r="Y166" s="21" t="n"/>
      <c r="Z166" s="22" t="n"/>
      <c r="AA166" s="23">
        <f>IF(OR(L166="",Z166=""),"",L166*Z166)</f>
        <v/>
      </c>
      <c r="AB166" s="17" t="n"/>
      <c r="A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8" t="n"/>
      <c r="M167" s="19" t="n"/>
      <c r="N167" s="19" t="n"/>
      <c r="O167" s="19" t="n"/>
      <c r="P167" s="19" t="n"/>
      <c r="Q167" s="19" t="n"/>
      <c r="R167" s="19" t="n"/>
      <c r="S167" s="19" t="n"/>
      <c r="T167" s="20">
        <f>IF(COUNTA(M167:S167)=0,"",SUM(M167:S167))</f>
        <v/>
      </c>
      <c r="U167" s="20">
        <f>IF(T167="","",IF(T167&gt;=10,"Apply/Pursue",IF(T167=9,"Review","Reject")))</f>
        <v/>
      </c>
      <c r="V167" s="17" t="n"/>
      <c r="W167" s="21" t="n"/>
      <c r="X167" s="17" t="n"/>
      <c r="Y167" s="21" t="n"/>
      <c r="Z167" s="22" t="n"/>
      <c r="AA167" s="23">
        <f>IF(OR(L167="",Z167=""),"",L167*Z167)</f>
        <v/>
      </c>
      <c r="AB167" s="17" t="n"/>
      <c r="A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8" t="n"/>
      <c r="M168" s="19" t="n"/>
      <c r="N168" s="19" t="n"/>
      <c r="O168" s="19" t="n"/>
      <c r="P168" s="19" t="n"/>
      <c r="Q168" s="19" t="n"/>
      <c r="R168" s="19" t="n"/>
      <c r="S168" s="19" t="n"/>
      <c r="T168" s="20">
        <f>IF(COUNTA(M168:S168)=0,"",SUM(M168:S168))</f>
        <v/>
      </c>
      <c r="U168" s="20">
        <f>IF(T168="","",IF(T168&gt;=10,"Apply/Pursue",IF(T168=9,"Review","Reject")))</f>
        <v/>
      </c>
      <c r="V168" s="17" t="n"/>
      <c r="W168" s="21" t="n"/>
      <c r="X168" s="17" t="n"/>
      <c r="Y168" s="21" t="n"/>
      <c r="Z168" s="22" t="n"/>
      <c r="AA168" s="23">
        <f>IF(OR(L168="",Z168=""),"",L168*Z168)</f>
        <v/>
      </c>
      <c r="AB168" s="17" t="n"/>
      <c r="A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8" t="n"/>
      <c r="M169" s="19" t="n"/>
      <c r="N169" s="19" t="n"/>
      <c r="O169" s="19" t="n"/>
      <c r="P169" s="19" t="n"/>
      <c r="Q169" s="19" t="n"/>
      <c r="R169" s="19" t="n"/>
      <c r="S169" s="19" t="n"/>
      <c r="T169" s="20">
        <f>IF(COUNTA(M169:S169)=0,"",SUM(M169:S169))</f>
        <v/>
      </c>
      <c r="U169" s="20">
        <f>IF(T169="","",IF(T169&gt;=10,"Apply/Pursue",IF(T169=9,"Review","Reject")))</f>
        <v/>
      </c>
      <c r="V169" s="17" t="n"/>
      <c r="W169" s="21" t="n"/>
      <c r="X169" s="17" t="n"/>
      <c r="Y169" s="21" t="n"/>
      <c r="Z169" s="22" t="n"/>
      <c r="AA169" s="23">
        <f>IF(OR(L169="",Z169=""),"",L169*Z169)</f>
        <v/>
      </c>
      <c r="AB169" s="17" t="n"/>
      <c r="A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8" t="n"/>
      <c r="M170" s="19" t="n"/>
      <c r="N170" s="19" t="n"/>
      <c r="O170" s="19" t="n"/>
      <c r="P170" s="19" t="n"/>
      <c r="Q170" s="19" t="n"/>
      <c r="R170" s="19" t="n"/>
      <c r="S170" s="19" t="n"/>
      <c r="T170" s="20">
        <f>IF(COUNTA(M170:S170)=0,"",SUM(M170:S170))</f>
        <v/>
      </c>
      <c r="U170" s="20">
        <f>IF(T170="","",IF(T170&gt;=10,"Apply/Pursue",IF(T170=9,"Review","Reject")))</f>
        <v/>
      </c>
      <c r="V170" s="17" t="n"/>
      <c r="W170" s="21" t="n"/>
      <c r="X170" s="17" t="n"/>
      <c r="Y170" s="21" t="n"/>
      <c r="Z170" s="22" t="n"/>
      <c r="AA170" s="23">
        <f>IF(OR(L170="",Z170=""),"",L170*Z170)</f>
        <v/>
      </c>
      <c r="AB170" s="17" t="n"/>
      <c r="A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8" t="n"/>
      <c r="M171" s="19" t="n"/>
      <c r="N171" s="19" t="n"/>
      <c r="O171" s="19" t="n"/>
      <c r="P171" s="19" t="n"/>
      <c r="Q171" s="19" t="n"/>
      <c r="R171" s="19" t="n"/>
      <c r="S171" s="19" t="n"/>
      <c r="T171" s="20">
        <f>IF(COUNTA(M171:S171)=0,"",SUM(M171:S171))</f>
        <v/>
      </c>
      <c r="U171" s="20">
        <f>IF(T171="","",IF(T171&gt;=10,"Apply/Pursue",IF(T171=9,"Review","Reject")))</f>
        <v/>
      </c>
      <c r="V171" s="17" t="n"/>
      <c r="W171" s="21" t="n"/>
      <c r="X171" s="17" t="n"/>
      <c r="Y171" s="21" t="n"/>
      <c r="Z171" s="22" t="n"/>
      <c r="AA171" s="23">
        <f>IF(OR(L171="",Z171=""),"",L171*Z171)</f>
        <v/>
      </c>
      <c r="AB171" s="17" t="n"/>
      <c r="A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8" t="n"/>
      <c r="M172" s="19" t="n"/>
      <c r="N172" s="19" t="n"/>
      <c r="O172" s="19" t="n"/>
      <c r="P172" s="19" t="n"/>
      <c r="Q172" s="19" t="n"/>
      <c r="R172" s="19" t="n"/>
      <c r="S172" s="19" t="n"/>
      <c r="T172" s="20">
        <f>IF(COUNTA(M172:S172)=0,"",SUM(M172:S172))</f>
        <v/>
      </c>
      <c r="U172" s="20">
        <f>IF(T172="","",IF(T172&gt;=10,"Apply/Pursue",IF(T172=9,"Review","Reject")))</f>
        <v/>
      </c>
      <c r="V172" s="17" t="n"/>
      <c r="W172" s="21" t="n"/>
      <c r="X172" s="17" t="n"/>
      <c r="Y172" s="21" t="n"/>
      <c r="Z172" s="22" t="n"/>
      <c r="AA172" s="23">
        <f>IF(OR(L172="",Z172=""),"",L172*Z172)</f>
        <v/>
      </c>
      <c r="AB172" s="17" t="n"/>
      <c r="A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8" t="n"/>
      <c r="M173" s="19" t="n"/>
      <c r="N173" s="19" t="n"/>
      <c r="O173" s="19" t="n"/>
      <c r="P173" s="19" t="n"/>
      <c r="Q173" s="19" t="n"/>
      <c r="R173" s="19" t="n"/>
      <c r="S173" s="19" t="n"/>
      <c r="T173" s="20">
        <f>IF(COUNTA(M173:S173)=0,"",SUM(M173:S173))</f>
        <v/>
      </c>
      <c r="U173" s="20">
        <f>IF(T173="","",IF(T173&gt;=10,"Apply/Pursue",IF(T173=9,"Review","Reject")))</f>
        <v/>
      </c>
      <c r="V173" s="17" t="n"/>
      <c r="W173" s="21" t="n"/>
      <c r="X173" s="17" t="n"/>
      <c r="Y173" s="21" t="n"/>
      <c r="Z173" s="22" t="n"/>
      <c r="AA173" s="23">
        <f>IF(OR(L173="",Z173=""),"",L173*Z173)</f>
        <v/>
      </c>
      <c r="AB173" s="17" t="n"/>
      <c r="A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8" t="n"/>
      <c r="M174" s="19" t="n"/>
      <c r="N174" s="19" t="n"/>
      <c r="O174" s="19" t="n"/>
      <c r="P174" s="19" t="n"/>
      <c r="Q174" s="19" t="n"/>
      <c r="R174" s="19" t="n"/>
      <c r="S174" s="19" t="n"/>
      <c r="T174" s="20">
        <f>IF(COUNTA(M174:S174)=0,"",SUM(M174:S174))</f>
        <v/>
      </c>
      <c r="U174" s="20">
        <f>IF(T174="","",IF(T174&gt;=10,"Apply/Pursue",IF(T174=9,"Review","Reject")))</f>
        <v/>
      </c>
      <c r="V174" s="17" t="n"/>
      <c r="W174" s="21" t="n"/>
      <c r="X174" s="17" t="n"/>
      <c r="Y174" s="21" t="n"/>
      <c r="Z174" s="22" t="n"/>
      <c r="AA174" s="23">
        <f>IF(OR(L174="",Z174=""),"",L174*Z174)</f>
        <v/>
      </c>
      <c r="AB174" s="17" t="n"/>
      <c r="A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8" t="n"/>
      <c r="M175" s="19" t="n"/>
      <c r="N175" s="19" t="n"/>
      <c r="O175" s="19" t="n"/>
      <c r="P175" s="19" t="n"/>
      <c r="Q175" s="19" t="n"/>
      <c r="R175" s="19" t="n"/>
      <c r="S175" s="19" t="n"/>
      <c r="T175" s="20">
        <f>IF(COUNTA(M175:S175)=0,"",SUM(M175:S175))</f>
        <v/>
      </c>
      <c r="U175" s="20">
        <f>IF(T175="","",IF(T175&gt;=10,"Apply/Pursue",IF(T175=9,"Review","Reject")))</f>
        <v/>
      </c>
      <c r="V175" s="17" t="n"/>
      <c r="W175" s="21" t="n"/>
      <c r="X175" s="17" t="n"/>
      <c r="Y175" s="21" t="n"/>
      <c r="Z175" s="22" t="n"/>
      <c r="AA175" s="23">
        <f>IF(OR(L175="",Z175=""),"",L175*Z175)</f>
        <v/>
      </c>
      <c r="AB175" s="17" t="n"/>
      <c r="A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8" t="n"/>
      <c r="M176" s="19" t="n"/>
      <c r="N176" s="19" t="n"/>
      <c r="O176" s="19" t="n"/>
      <c r="P176" s="19" t="n"/>
      <c r="Q176" s="19" t="n"/>
      <c r="R176" s="19" t="n"/>
      <c r="S176" s="19" t="n"/>
      <c r="T176" s="20">
        <f>IF(COUNTA(M176:S176)=0,"",SUM(M176:S176))</f>
        <v/>
      </c>
      <c r="U176" s="20">
        <f>IF(T176="","",IF(T176&gt;=10,"Apply/Pursue",IF(T176=9,"Review","Reject")))</f>
        <v/>
      </c>
      <c r="V176" s="17" t="n"/>
      <c r="W176" s="21" t="n"/>
      <c r="X176" s="17" t="n"/>
      <c r="Y176" s="21" t="n"/>
      <c r="Z176" s="22" t="n"/>
      <c r="AA176" s="23">
        <f>IF(OR(L176="",Z176=""),"",L176*Z176)</f>
        <v/>
      </c>
      <c r="AB176" s="17" t="n"/>
      <c r="A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8" t="n"/>
      <c r="M177" s="19" t="n"/>
      <c r="N177" s="19" t="n"/>
      <c r="O177" s="19" t="n"/>
      <c r="P177" s="19" t="n"/>
      <c r="Q177" s="19" t="n"/>
      <c r="R177" s="19" t="n"/>
      <c r="S177" s="19" t="n"/>
      <c r="T177" s="20">
        <f>IF(COUNTA(M177:S177)=0,"",SUM(M177:S177))</f>
        <v/>
      </c>
      <c r="U177" s="20">
        <f>IF(T177="","",IF(T177&gt;=10,"Apply/Pursue",IF(T177=9,"Review","Reject")))</f>
        <v/>
      </c>
      <c r="V177" s="17" t="n"/>
      <c r="W177" s="21" t="n"/>
      <c r="X177" s="17" t="n"/>
      <c r="Y177" s="21" t="n"/>
      <c r="Z177" s="22" t="n"/>
      <c r="AA177" s="23">
        <f>IF(OR(L177="",Z177=""),"",L177*Z177)</f>
        <v/>
      </c>
      <c r="AB177" s="17" t="n"/>
      <c r="A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8" t="n"/>
      <c r="M178" s="19" t="n"/>
      <c r="N178" s="19" t="n"/>
      <c r="O178" s="19" t="n"/>
      <c r="P178" s="19" t="n"/>
      <c r="Q178" s="19" t="n"/>
      <c r="R178" s="19" t="n"/>
      <c r="S178" s="19" t="n"/>
      <c r="T178" s="20">
        <f>IF(COUNTA(M178:S178)=0,"",SUM(M178:S178))</f>
        <v/>
      </c>
      <c r="U178" s="20">
        <f>IF(T178="","",IF(T178&gt;=10,"Apply/Pursue",IF(T178=9,"Review","Reject")))</f>
        <v/>
      </c>
      <c r="V178" s="17" t="n"/>
      <c r="W178" s="21" t="n"/>
      <c r="X178" s="17" t="n"/>
      <c r="Y178" s="21" t="n"/>
      <c r="Z178" s="22" t="n"/>
      <c r="AA178" s="23">
        <f>IF(OR(L178="",Z178=""),"",L178*Z178)</f>
        <v/>
      </c>
      <c r="AB178" s="17" t="n"/>
      <c r="A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8" t="n"/>
      <c r="M179" s="19" t="n"/>
      <c r="N179" s="19" t="n"/>
      <c r="O179" s="19" t="n"/>
      <c r="P179" s="19" t="n"/>
      <c r="Q179" s="19" t="n"/>
      <c r="R179" s="19" t="n"/>
      <c r="S179" s="19" t="n"/>
      <c r="T179" s="20">
        <f>IF(COUNTA(M179:S179)=0,"",SUM(M179:S179))</f>
        <v/>
      </c>
      <c r="U179" s="20">
        <f>IF(T179="","",IF(T179&gt;=10,"Apply/Pursue",IF(T179=9,"Review","Reject")))</f>
        <v/>
      </c>
      <c r="V179" s="17" t="n"/>
      <c r="W179" s="21" t="n"/>
      <c r="X179" s="17" t="n"/>
      <c r="Y179" s="21" t="n"/>
      <c r="Z179" s="22" t="n"/>
      <c r="AA179" s="23">
        <f>IF(OR(L179="",Z179=""),"",L179*Z179)</f>
        <v/>
      </c>
      <c r="AB179" s="17" t="n"/>
      <c r="A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8" t="n"/>
      <c r="M180" s="19" t="n"/>
      <c r="N180" s="19" t="n"/>
      <c r="O180" s="19" t="n"/>
      <c r="P180" s="19" t="n"/>
      <c r="Q180" s="19" t="n"/>
      <c r="R180" s="19" t="n"/>
      <c r="S180" s="19" t="n"/>
      <c r="T180" s="20">
        <f>IF(COUNTA(M180:S180)=0,"",SUM(M180:S180))</f>
        <v/>
      </c>
      <c r="U180" s="20">
        <f>IF(T180="","",IF(T180&gt;=10,"Apply/Pursue",IF(T180=9,"Review","Reject")))</f>
        <v/>
      </c>
      <c r="V180" s="17" t="n"/>
      <c r="W180" s="21" t="n"/>
      <c r="X180" s="17" t="n"/>
      <c r="Y180" s="21" t="n"/>
      <c r="Z180" s="22" t="n"/>
      <c r="AA180" s="23">
        <f>IF(OR(L180="",Z180=""),"",L180*Z180)</f>
        <v/>
      </c>
      <c r="AB180" s="17" t="n"/>
      <c r="A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8" t="n"/>
      <c r="M181" s="19" t="n"/>
      <c r="N181" s="19" t="n"/>
      <c r="O181" s="19" t="n"/>
      <c r="P181" s="19" t="n"/>
      <c r="Q181" s="19" t="n"/>
      <c r="R181" s="19" t="n"/>
      <c r="S181" s="19" t="n"/>
      <c r="T181" s="20">
        <f>IF(COUNTA(M181:S181)=0,"",SUM(M181:S181))</f>
        <v/>
      </c>
      <c r="U181" s="20">
        <f>IF(T181="","",IF(T181&gt;=10,"Apply/Pursue",IF(T181=9,"Review","Reject")))</f>
        <v/>
      </c>
      <c r="V181" s="17" t="n"/>
      <c r="W181" s="21" t="n"/>
      <c r="X181" s="17" t="n"/>
      <c r="Y181" s="21" t="n"/>
      <c r="Z181" s="22" t="n"/>
      <c r="AA181" s="23">
        <f>IF(OR(L181="",Z181=""),"",L181*Z181)</f>
        <v/>
      </c>
      <c r="AB181" s="17" t="n"/>
      <c r="A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8" t="n"/>
      <c r="M182" s="19" t="n"/>
      <c r="N182" s="19" t="n"/>
      <c r="O182" s="19" t="n"/>
      <c r="P182" s="19" t="n"/>
      <c r="Q182" s="19" t="n"/>
      <c r="R182" s="19" t="n"/>
      <c r="S182" s="19" t="n"/>
      <c r="T182" s="20">
        <f>IF(COUNTA(M182:S182)=0,"",SUM(M182:S182))</f>
        <v/>
      </c>
      <c r="U182" s="20">
        <f>IF(T182="","",IF(T182&gt;=10,"Apply/Pursue",IF(T182=9,"Review","Reject")))</f>
        <v/>
      </c>
      <c r="V182" s="17" t="n"/>
      <c r="W182" s="21" t="n"/>
      <c r="X182" s="17" t="n"/>
      <c r="Y182" s="21" t="n"/>
      <c r="Z182" s="22" t="n"/>
      <c r="AA182" s="23">
        <f>IF(OR(L182="",Z182=""),"",L182*Z182)</f>
        <v/>
      </c>
      <c r="AB182" s="17" t="n"/>
      <c r="A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8" t="n"/>
      <c r="M183" s="19" t="n"/>
      <c r="N183" s="19" t="n"/>
      <c r="O183" s="19" t="n"/>
      <c r="P183" s="19" t="n"/>
      <c r="Q183" s="19" t="n"/>
      <c r="R183" s="19" t="n"/>
      <c r="S183" s="19" t="n"/>
      <c r="T183" s="20">
        <f>IF(COUNTA(M183:S183)=0,"",SUM(M183:S183))</f>
        <v/>
      </c>
      <c r="U183" s="20">
        <f>IF(T183="","",IF(T183&gt;=10,"Apply/Pursue",IF(T183=9,"Review","Reject")))</f>
        <v/>
      </c>
      <c r="V183" s="17" t="n"/>
      <c r="W183" s="21" t="n"/>
      <c r="X183" s="17" t="n"/>
      <c r="Y183" s="21" t="n"/>
      <c r="Z183" s="22" t="n"/>
      <c r="AA183" s="23">
        <f>IF(OR(L183="",Z183=""),"",L183*Z183)</f>
        <v/>
      </c>
      <c r="AB183" s="17" t="n"/>
      <c r="A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8" t="n"/>
      <c r="M184" s="19" t="n"/>
      <c r="N184" s="19" t="n"/>
      <c r="O184" s="19" t="n"/>
      <c r="P184" s="19" t="n"/>
      <c r="Q184" s="19" t="n"/>
      <c r="R184" s="19" t="n"/>
      <c r="S184" s="19" t="n"/>
      <c r="T184" s="20">
        <f>IF(COUNTA(M184:S184)=0,"",SUM(M184:S184))</f>
        <v/>
      </c>
      <c r="U184" s="20">
        <f>IF(T184="","",IF(T184&gt;=10,"Apply/Pursue",IF(T184=9,"Review","Reject")))</f>
        <v/>
      </c>
      <c r="V184" s="17" t="n"/>
      <c r="W184" s="21" t="n"/>
      <c r="X184" s="17" t="n"/>
      <c r="Y184" s="21" t="n"/>
      <c r="Z184" s="22" t="n"/>
      <c r="AA184" s="23">
        <f>IF(OR(L184="",Z184=""),"",L184*Z184)</f>
        <v/>
      </c>
      <c r="AB184" s="17" t="n"/>
      <c r="A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8" t="n"/>
      <c r="M185" s="19" t="n"/>
      <c r="N185" s="19" t="n"/>
      <c r="O185" s="19" t="n"/>
      <c r="P185" s="19" t="n"/>
      <c r="Q185" s="19" t="n"/>
      <c r="R185" s="19" t="n"/>
      <c r="S185" s="19" t="n"/>
      <c r="T185" s="20">
        <f>IF(COUNTA(M185:S185)=0,"",SUM(M185:S185))</f>
        <v/>
      </c>
      <c r="U185" s="20">
        <f>IF(T185="","",IF(T185&gt;=10,"Apply/Pursue",IF(T185=9,"Review","Reject")))</f>
        <v/>
      </c>
      <c r="V185" s="17" t="n"/>
      <c r="W185" s="21" t="n"/>
      <c r="X185" s="17" t="n"/>
      <c r="Y185" s="21" t="n"/>
      <c r="Z185" s="22" t="n"/>
      <c r="AA185" s="23">
        <f>IF(OR(L185="",Z185=""),"",L185*Z185)</f>
        <v/>
      </c>
      <c r="AB185" s="17" t="n"/>
      <c r="A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8" t="n"/>
      <c r="M186" s="19" t="n"/>
      <c r="N186" s="19" t="n"/>
      <c r="O186" s="19" t="n"/>
      <c r="P186" s="19" t="n"/>
      <c r="Q186" s="19" t="n"/>
      <c r="R186" s="19" t="n"/>
      <c r="S186" s="19" t="n"/>
      <c r="T186" s="20">
        <f>IF(COUNTA(M186:S186)=0,"",SUM(M186:S186))</f>
        <v/>
      </c>
      <c r="U186" s="20">
        <f>IF(T186="","",IF(T186&gt;=10,"Apply/Pursue",IF(T186=9,"Review","Reject")))</f>
        <v/>
      </c>
      <c r="V186" s="17" t="n"/>
      <c r="W186" s="21" t="n"/>
      <c r="X186" s="17" t="n"/>
      <c r="Y186" s="21" t="n"/>
      <c r="Z186" s="22" t="n"/>
      <c r="AA186" s="23">
        <f>IF(OR(L186="",Z186=""),"",L186*Z186)</f>
        <v/>
      </c>
      <c r="AB186" s="17" t="n"/>
      <c r="A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8" t="n"/>
      <c r="M187" s="19" t="n"/>
      <c r="N187" s="19" t="n"/>
      <c r="O187" s="19" t="n"/>
      <c r="P187" s="19" t="n"/>
      <c r="Q187" s="19" t="n"/>
      <c r="R187" s="19" t="n"/>
      <c r="S187" s="19" t="n"/>
      <c r="T187" s="20">
        <f>IF(COUNTA(M187:S187)=0,"",SUM(M187:S187))</f>
        <v/>
      </c>
      <c r="U187" s="20">
        <f>IF(T187="","",IF(T187&gt;=10,"Apply/Pursue",IF(T187=9,"Review","Reject")))</f>
        <v/>
      </c>
      <c r="V187" s="17" t="n"/>
      <c r="W187" s="21" t="n"/>
      <c r="X187" s="17" t="n"/>
      <c r="Y187" s="21" t="n"/>
      <c r="Z187" s="22" t="n"/>
      <c r="AA187" s="23">
        <f>IF(OR(L187="",Z187=""),"",L187*Z187)</f>
        <v/>
      </c>
      <c r="AB187" s="17" t="n"/>
      <c r="A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8" t="n"/>
      <c r="M188" s="19" t="n"/>
      <c r="N188" s="19" t="n"/>
      <c r="O188" s="19" t="n"/>
      <c r="P188" s="19" t="n"/>
      <c r="Q188" s="19" t="n"/>
      <c r="R188" s="19" t="n"/>
      <c r="S188" s="19" t="n"/>
      <c r="T188" s="20">
        <f>IF(COUNTA(M188:S188)=0,"",SUM(M188:S188))</f>
        <v/>
      </c>
      <c r="U188" s="20">
        <f>IF(T188="","",IF(T188&gt;=10,"Apply/Pursue",IF(T188=9,"Review","Reject")))</f>
        <v/>
      </c>
      <c r="V188" s="17" t="n"/>
      <c r="W188" s="21" t="n"/>
      <c r="X188" s="17" t="n"/>
      <c r="Y188" s="21" t="n"/>
      <c r="Z188" s="22" t="n"/>
      <c r="AA188" s="23">
        <f>IF(OR(L188="",Z188=""),"",L188*Z188)</f>
        <v/>
      </c>
      <c r="AB188" s="17" t="n"/>
      <c r="A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8" t="n"/>
      <c r="M189" s="19" t="n"/>
      <c r="N189" s="19" t="n"/>
      <c r="O189" s="19" t="n"/>
      <c r="P189" s="19" t="n"/>
      <c r="Q189" s="19" t="n"/>
      <c r="R189" s="19" t="n"/>
      <c r="S189" s="19" t="n"/>
      <c r="T189" s="20">
        <f>IF(COUNTA(M189:S189)=0,"",SUM(M189:S189))</f>
        <v/>
      </c>
      <c r="U189" s="20">
        <f>IF(T189="","",IF(T189&gt;=10,"Apply/Pursue",IF(T189=9,"Review","Reject")))</f>
        <v/>
      </c>
      <c r="V189" s="17" t="n"/>
      <c r="W189" s="21" t="n"/>
      <c r="X189" s="17" t="n"/>
      <c r="Y189" s="21" t="n"/>
      <c r="Z189" s="22" t="n"/>
      <c r="AA189" s="23">
        <f>IF(OR(L189="",Z189=""),"",L189*Z189)</f>
        <v/>
      </c>
      <c r="AB189" s="17" t="n"/>
      <c r="A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8" t="n"/>
      <c r="M190" s="19" t="n"/>
      <c r="N190" s="19" t="n"/>
      <c r="O190" s="19" t="n"/>
      <c r="P190" s="19" t="n"/>
      <c r="Q190" s="19" t="n"/>
      <c r="R190" s="19" t="n"/>
      <c r="S190" s="19" t="n"/>
      <c r="T190" s="20">
        <f>IF(COUNTA(M190:S190)=0,"",SUM(M190:S190))</f>
        <v/>
      </c>
      <c r="U190" s="20">
        <f>IF(T190="","",IF(T190&gt;=10,"Apply/Pursue",IF(T190=9,"Review","Reject")))</f>
        <v/>
      </c>
      <c r="V190" s="17" t="n"/>
      <c r="W190" s="21" t="n"/>
      <c r="X190" s="17" t="n"/>
      <c r="Y190" s="21" t="n"/>
      <c r="Z190" s="22" t="n"/>
      <c r="AA190" s="23">
        <f>IF(OR(L190="",Z190=""),"",L190*Z190)</f>
        <v/>
      </c>
      <c r="AB190" s="17" t="n"/>
      <c r="A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8" t="n"/>
      <c r="M191" s="19" t="n"/>
      <c r="N191" s="19" t="n"/>
      <c r="O191" s="19" t="n"/>
      <c r="P191" s="19" t="n"/>
      <c r="Q191" s="19" t="n"/>
      <c r="R191" s="19" t="n"/>
      <c r="S191" s="19" t="n"/>
      <c r="T191" s="20">
        <f>IF(COUNTA(M191:S191)=0,"",SUM(M191:S191))</f>
        <v/>
      </c>
      <c r="U191" s="20">
        <f>IF(T191="","",IF(T191&gt;=10,"Apply/Pursue",IF(T191=9,"Review","Reject")))</f>
        <v/>
      </c>
      <c r="V191" s="17" t="n"/>
      <c r="W191" s="21" t="n"/>
      <c r="X191" s="17" t="n"/>
      <c r="Y191" s="21" t="n"/>
      <c r="Z191" s="22" t="n"/>
      <c r="AA191" s="23">
        <f>IF(OR(L191="",Z191=""),"",L191*Z191)</f>
        <v/>
      </c>
      <c r="AB191" s="17" t="n"/>
      <c r="A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8" t="n"/>
      <c r="M192" s="19" t="n"/>
      <c r="N192" s="19" t="n"/>
      <c r="O192" s="19" t="n"/>
      <c r="P192" s="19" t="n"/>
      <c r="Q192" s="19" t="n"/>
      <c r="R192" s="19" t="n"/>
      <c r="S192" s="19" t="n"/>
      <c r="T192" s="20">
        <f>IF(COUNTA(M192:S192)=0,"",SUM(M192:S192))</f>
        <v/>
      </c>
      <c r="U192" s="20">
        <f>IF(T192="","",IF(T192&gt;=10,"Apply/Pursue",IF(T192=9,"Review","Reject")))</f>
        <v/>
      </c>
      <c r="V192" s="17" t="n"/>
      <c r="W192" s="21" t="n"/>
      <c r="X192" s="17" t="n"/>
      <c r="Y192" s="21" t="n"/>
      <c r="Z192" s="22" t="n"/>
      <c r="AA192" s="23">
        <f>IF(OR(L192="",Z192=""),"",L192*Z192)</f>
        <v/>
      </c>
      <c r="AB192" s="17" t="n"/>
      <c r="A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8" t="n"/>
      <c r="M193" s="19" t="n"/>
      <c r="N193" s="19" t="n"/>
      <c r="O193" s="19" t="n"/>
      <c r="P193" s="19" t="n"/>
      <c r="Q193" s="19" t="n"/>
      <c r="R193" s="19" t="n"/>
      <c r="S193" s="19" t="n"/>
      <c r="T193" s="20">
        <f>IF(COUNTA(M193:S193)=0,"",SUM(M193:S193))</f>
        <v/>
      </c>
      <c r="U193" s="20">
        <f>IF(T193="","",IF(T193&gt;=10,"Apply/Pursue",IF(T193=9,"Review","Reject")))</f>
        <v/>
      </c>
      <c r="V193" s="17" t="n"/>
      <c r="W193" s="21" t="n"/>
      <c r="X193" s="17" t="n"/>
      <c r="Y193" s="21" t="n"/>
      <c r="Z193" s="22" t="n"/>
      <c r="AA193" s="23">
        <f>IF(OR(L193="",Z193=""),"",L193*Z193)</f>
        <v/>
      </c>
      <c r="AB193" s="17" t="n"/>
      <c r="A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8" t="n"/>
      <c r="M194" s="19" t="n"/>
      <c r="N194" s="19" t="n"/>
      <c r="O194" s="19" t="n"/>
      <c r="P194" s="19" t="n"/>
      <c r="Q194" s="19" t="n"/>
      <c r="R194" s="19" t="n"/>
      <c r="S194" s="19" t="n"/>
      <c r="T194" s="20">
        <f>IF(COUNTA(M194:S194)=0,"",SUM(M194:S194))</f>
        <v/>
      </c>
      <c r="U194" s="20">
        <f>IF(T194="","",IF(T194&gt;=10,"Apply/Pursue",IF(T194=9,"Review","Reject")))</f>
        <v/>
      </c>
      <c r="V194" s="17" t="n"/>
      <c r="W194" s="21" t="n"/>
      <c r="X194" s="17" t="n"/>
      <c r="Y194" s="21" t="n"/>
      <c r="Z194" s="22" t="n"/>
      <c r="AA194" s="23">
        <f>IF(OR(L194="",Z194=""),"",L194*Z194)</f>
        <v/>
      </c>
      <c r="AB194" s="17" t="n"/>
      <c r="A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8" t="n"/>
      <c r="M195" s="19" t="n"/>
      <c r="N195" s="19" t="n"/>
      <c r="O195" s="19" t="n"/>
      <c r="P195" s="19" t="n"/>
      <c r="Q195" s="19" t="n"/>
      <c r="R195" s="19" t="n"/>
      <c r="S195" s="19" t="n"/>
      <c r="T195" s="20">
        <f>IF(COUNTA(M195:S195)=0,"",SUM(M195:S195))</f>
        <v/>
      </c>
      <c r="U195" s="20">
        <f>IF(T195="","",IF(T195&gt;=10,"Apply/Pursue",IF(T195=9,"Review","Reject")))</f>
        <v/>
      </c>
      <c r="V195" s="17" t="n"/>
      <c r="W195" s="21" t="n"/>
      <c r="X195" s="17" t="n"/>
      <c r="Y195" s="21" t="n"/>
      <c r="Z195" s="22" t="n"/>
      <c r="AA195" s="23">
        <f>IF(OR(L195="",Z195=""),"",L195*Z195)</f>
        <v/>
      </c>
      <c r="AB195" s="17" t="n"/>
      <c r="A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8" t="n"/>
      <c r="M196" s="19" t="n"/>
      <c r="N196" s="19" t="n"/>
      <c r="O196" s="19" t="n"/>
      <c r="P196" s="19" t="n"/>
      <c r="Q196" s="19" t="n"/>
      <c r="R196" s="19" t="n"/>
      <c r="S196" s="19" t="n"/>
      <c r="T196" s="20">
        <f>IF(COUNTA(M196:S196)=0,"",SUM(M196:S196))</f>
        <v/>
      </c>
      <c r="U196" s="20">
        <f>IF(T196="","",IF(T196&gt;=10,"Apply/Pursue",IF(T196=9,"Review","Reject")))</f>
        <v/>
      </c>
      <c r="V196" s="17" t="n"/>
      <c r="W196" s="21" t="n"/>
      <c r="X196" s="17" t="n"/>
      <c r="Y196" s="21" t="n"/>
      <c r="Z196" s="22" t="n"/>
      <c r="AA196" s="23">
        <f>IF(OR(L196="",Z196=""),"",L196*Z196)</f>
        <v/>
      </c>
      <c r="AB196" s="17" t="n"/>
      <c r="A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8" t="n"/>
      <c r="M197" s="19" t="n"/>
      <c r="N197" s="19" t="n"/>
      <c r="O197" s="19" t="n"/>
      <c r="P197" s="19" t="n"/>
      <c r="Q197" s="19" t="n"/>
      <c r="R197" s="19" t="n"/>
      <c r="S197" s="19" t="n"/>
      <c r="T197" s="20">
        <f>IF(COUNTA(M197:S197)=0,"",SUM(M197:S197))</f>
        <v/>
      </c>
      <c r="U197" s="20">
        <f>IF(T197="","",IF(T197&gt;=10,"Apply/Pursue",IF(T197=9,"Review","Reject")))</f>
        <v/>
      </c>
      <c r="V197" s="17" t="n"/>
      <c r="W197" s="21" t="n"/>
      <c r="X197" s="17" t="n"/>
      <c r="Y197" s="21" t="n"/>
      <c r="Z197" s="22" t="n"/>
      <c r="AA197" s="23">
        <f>IF(OR(L197="",Z197=""),"",L197*Z197)</f>
        <v/>
      </c>
      <c r="AB197" s="17" t="n"/>
      <c r="A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8" t="n"/>
      <c r="M198" s="19" t="n"/>
      <c r="N198" s="19" t="n"/>
      <c r="O198" s="19" t="n"/>
      <c r="P198" s="19" t="n"/>
      <c r="Q198" s="19" t="n"/>
      <c r="R198" s="19" t="n"/>
      <c r="S198" s="19" t="n"/>
      <c r="T198" s="20">
        <f>IF(COUNTA(M198:S198)=0,"",SUM(M198:S198))</f>
        <v/>
      </c>
      <c r="U198" s="20">
        <f>IF(T198="","",IF(T198&gt;=10,"Apply/Pursue",IF(T198=9,"Review","Reject")))</f>
        <v/>
      </c>
      <c r="V198" s="17" t="n"/>
      <c r="W198" s="21" t="n"/>
      <c r="X198" s="17" t="n"/>
      <c r="Y198" s="21" t="n"/>
      <c r="Z198" s="22" t="n"/>
      <c r="AA198" s="23">
        <f>IF(OR(L198="",Z198=""),"",L198*Z198)</f>
        <v/>
      </c>
      <c r="AB198" s="17" t="n"/>
      <c r="A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8" t="n"/>
      <c r="M199" s="19" t="n"/>
      <c r="N199" s="19" t="n"/>
      <c r="O199" s="19" t="n"/>
      <c r="P199" s="19" t="n"/>
      <c r="Q199" s="19" t="n"/>
      <c r="R199" s="19" t="n"/>
      <c r="S199" s="19" t="n"/>
      <c r="T199" s="20">
        <f>IF(COUNTA(M199:S199)=0,"",SUM(M199:S199))</f>
        <v/>
      </c>
      <c r="U199" s="20">
        <f>IF(T199="","",IF(T199&gt;=10,"Apply/Pursue",IF(T199=9,"Review","Reject")))</f>
        <v/>
      </c>
      <c r="V199" s="17" t="n"/>
      <c r="W199" s="21" t="n"/>
      <c r="X199" s="17" t="n"/>
      <c r="Y199" s="21" t="n"/>
      <c r="Z199" s="22" t="n"/>
      <c r="AA199" s="23">
        <f>IF(OR(L199="",Z199=""),"",L199*Z199)</f>
        <v/>
      </c>
      <c r="AB199" s="17" t="n"/>
      <c r="A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8" t="n"/>
      <c r="M200" s="19" t="n"/>
      <c r="N200" s="19" t="n"/>
      <c r="O200" s="19" t="n"/>
      <c r="P200" s="19" t="n"/>
      <c r="Q200" s="19" t="n"/>
      <c r="R200" s="19" t="n"/>
      <c r="S200" s="19" t="n"/>
      <c r="T200" s="20">
        <f>IF(COUNTA(M200:S200)=0,"",SUM(M200:S200))</f>
        <v/>
      </c>
      <c r="U200" s="20">
        <f>IF(T200="","",IF(T200&gt;=10,"Apply/Pursue",IF(T200=9,"Review","Reject")))</f>
        <v/>
      </c>
      <c r="V200" s="17" t="n"/>
      <c r="W200" s="21" t="n"/>
      <c r="X200" s="17" t="n"/>
      <c r="Y200" s="21" t="n"/>
      <c r="Z200" s="22" t="n"/>
      <c r="AA200" s="23">
        <f>IF(OR(L200="",Z200=""),"",L200*Z200)</f>
        <v/>
      </c>
      <c r="AB200" s="17" t="n"/>
      <c r="A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8" t="n"/>
      <c r="M201" s="19" t="n"/>
      <c r="N201" s="19" t="n"/>
      <c r="O201" s="19" t="n"/>
      <c r="P201" s="19" t="n"/>
      <c r="Q201" s="19" t="n"/>
      <c r="R201" s="19" t="n"/>
      <c r="S201" s="19" t="n"/>
      <c r="T201" s="20">
        <f>IF(COUNTA(M201:S201)=0,"",SUM(M201:S201))</f>
        <v/>
      </c>
      <c r="U201" s="20">
        <f>IF(T201="","",IF(T201&gt;=10,"Apply/Pursue",IF(T201=9,"Review","Reject")))</f>
        <v/>
      </c>
      <c r="V201" s="17" t="n"/>
      <c r="W201" s="21" t="n"/>
      <c r="X201" s="17" t="n"/>
      <c r="Y201" s="21" t="n"/>
      <c r="Z201" s="22" t="n"/>
      <c r="AA201" s="23">
        <f>IF(OR(L201="",Z201=""),"",L201*Z201)</f>
        <v/>
      </c>
      <c r="AB201" s="17" t="n"/>
      <c r="A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8" t="n"/>
      <c r="M202" s="19" t="n"/>
      <c r="N202" s="19" t="n"/>
      <c r="O202" s="19" t="n"/>
      <c r="P202" s="19" t="n"/>
      <c r="Q202" s="19" t="n"/>
      <c r="R202" s="19" t="n"/>
      <c r="S202" s="19" t="n"/>
      <c r="T202" s="20">
        <f>IF(COUNTA(M202:S202)=0,"",SUM(M202:S202))</f>
        <v/>
      </c>
      <c r="U202" s="20">
        <f>IF(T202="","",IF(T202&gt;=10,"Apply/Pursue",IF(T202=9,"Review","Reject")))</f>
        <v/>
      </c>
      <c r="V202" s="17" t="n"/>
      <c r="W202" s="21" t="n"/>
      <c r="X202" s="17" t="n"/>
      <c r="Y202" s="21" t="n"/>
      <c r="Z202" s="22" t="n"/>
      <c r="AA202" s="23">
        <f>IF(OR(L202="",Z202=""),"",L202*Z202)</f>
        <v/>
      </c>
      <c r="AB202" s="17" t="n"/>
      <c r="A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8" t="n"/>
      <c r="M203" s="19" t="n"/>
      <c r="N203" s="19" t="n"/>
      <c r="O203" s="19" t="n"/>
      <c r="P203" s="19" t="n"/>
      <c r="Q203" s="19" t="n"/>
      <c r="R203" s="19" t="n"/>
      <c r="S203" s="19" t="n"/>
      <c r="T203" s="20">
        <f>IF(COUNTA(M203:S203)=0,"",SUM(M203:S203))</f>
        <v/>
      </c>
      <c r="U203" s="20">
        <f>IF(T203="","",IF(T203&gt;=10,"Apply/Pursue",IF(T203=9,"Review","Reject")))</f>
        <v/>
      </c>
      <c r="V203" s="17" t="n"/>
      <c r="W203" s="21" t="n"/>
      <c r="X203" s="17" t="n"/>
      <c r="Y203" s="21" t="n"/>
      <c r="Z203" s="22" t="n"/>
      <c r="AA203" s="23">
        <f>IF(OR(L203="",Z203=""),"",L203*Z203)</f>
        <v/>
      </c>
      <c r="AB203" s="17" t="n"/>
      <c r="A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8" t="n"/>
      <c r="M204" s="19" t="n"/>
      <c r="N204" s="19" t="n"/>
      <c r="O204" s="19" t="n"/>
      <c r="P204" s="19" t="n"/>
      <c r="Q204" s="19" t="n"/>
      <c r="R204" s="19" t="n"/>
      <c r="S204" s="19" t="n"/>
      <c r="T204" s="20">
        <f>IF(COUNTA(M204:S204)=0,"",SUM(M204:S204))</f>
        <v/>
      </c>
      <c r="U204" s="20">
        <f>IF(T204="","",IF(T204&gt;=10,"Apply/Pursue",IF(T204=9,"Review","Reject")))</f>
        <v/>
      </c>
      <c r="V204" s="17" t="n"/>
      <c r="W204" s="21" t="n"/>
      <c r="X204" s="17" t="n"/>
      <c r="Y204" s="21" t="n"/>
      <c r="Z204" s="22" t="n"/>
      <c r="AA204" s="23">
        <f>IF(OR(L204="",Z204=""),"",L204*Z204)</f>
        <v/>
      </c>
      <c r="AB204" s="17" t="n"/>
      <c r="A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8" t="n"/>
      <c r="M205" s="19" t="n"/>
      <c r="N205" s="19" t="n"/>
      <c r="O205" s="19" t="n"/>
      <c r="P205" s="19" t="n"/>
      <c r="Q205" s="19" t="n"/>
      <c r="R205" s="19" t="n"/>
      <c r="S205" s="19" t="n"/>
      <c r="T205" s="20">
        <f>IF(COUNTA(M205:S205)=0,"",SUM(M205:S205))</f>
        <v/>
      </c>
      <c r="U205" s="20">
        <f>IF(T205="","",IF(T205&gt;=10,"Apply/Pursue",IF(T205=9,"Review","Reject")))</f>
        <v/>
      </c>
      <c r="V205" s="17" t="n"/>
      <c r="W205" s="21" t="n"/>
      <c r="X205" s="17" t="n"/>
      <c r="Y205" s="21" t="n"/>
      <c r="Z205" s="22" t="n"/>
      <c r="AA205" s="23">
        <f>IF(OR(L205="",Z205=""),"",L205*Z205)</f>
        <v/>
      </c>
      <c r="AB205" s="17" t="n"/>
      <c r="AC205" s="17" t="n"/>
    </row>
  </sheetData>
  <autoFilter ref="A5:AC205"/>
  <mergeCells count="2">
    <mergeCell ref="A2:AC2"/>
    <mergeCell ref="A1:AC1"/>
  </mergeCells>
  <conditionalFormatting sqref="T6:T205">
    <cfRule type="colorScale" priority="1">
      <colorScale>
        <cfvo type="num" val="0"/>
        <cfvo type="num" val="9"/>
        <cfvo type="num" val="14"/>
        <color rgb="00E76F51"/>
        <color rgb="00E9C46A"/>
        <color rgb="002A9D8F"/>
      </colorScale>
    </cfRule>
  </conditionalFormatting>
  <conditionalFormatting sqref="Y6:Y205">
    <cfRule type="expression" priority="2" dxfId="0">
      <formula>AND($Y6&lt;TODAY(),$Y6&lt;&gt;"",$V6&lt;&gt;"Won",$V6&lt;&gt;"Lost/Rejected")</formula>
    </cfRule>
  </conditionalFormatting>
  <dataValidations count="5">
    <dataValidation sqref="M6:S205" showDropDown="0" showInputMessage="0" showErrorMessage="0" allowBlank="1" errorTitle="Invalid score" error="Enter 0, 1, or 2." type="whole" operator="between">
      <formula1>0</formula1>
      <formula2>2</formula2>
    </dataValidation>
    <dataValidation sqref="H6:H205" showDropDown="0" showInputMessage="0" showErrorMessage="0" allowBlank="1" type="list">
      <formula1>=Channels</formula1>
    </dataValidation>
    <dataValidation sqref="K6:K205" showDropDown="0" showInputMessage="0" showErrorMessage="0" allowBlank="1" type="list">
      <formula1>=Offers</formula1>
    </dataValidation>
    <dataValidation sqref="V6:V205" showDropDown="0" showInputMessage="0" showErrorMessage="0" allowBlank="1" type="list">
      <formula1>=Stages</formula1>
    </dataValidation>
    <dataValidation sqref="Z6:Z205" showDropDown="0" showInputMessage="0" showErrorMessage="0" allowBlank="1" type="list">
      <formula1>=Probabilities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7" customWidth="1" min="4" max="4"/>
    <col width="28" customWidth="1" min="5" max="5"/>
    <col width="17" customWidth="1" min="6" max="6"/>
    <col width="31" customWidth="1" min="7" max="7"/>
    <col width="13" customWidth="1" min="8" max="8"/>
    <col width="15" customWidth="1" min="9" max="9"/>
    <col width="16" customWidth="1" min="10" max="10"/>
    <col width="42" customWidth="1" min="11" max="11"/>
  </cols>
  <sheetData>
    <row r="1" ht="34" customHeight="1">
      <c r="A1" s="1" t="inlineStr">
        <is>
          <t>Kepler Dev — Sales Activities</t>
        </is>
      </c>
    </row>
    <row r="2" ht="22" customHeight="1">
      <c r="A2" s="2" t="inlineStr">
        <is>
          <t>One row per contact, reply, call, proposal, win, or payment</t>
        </is>
      </c>
    </row>
    <row r="4">
      <c r="A4" s="16" t="inlineStr">
        <is>
          <t>Record every meaningful sales event. Dashboard and weekly metrics calculate from Activity Type, Date, Qualified Reply, and Amount.</t>
        </is>
      </c>
    </row>
    <row r="5" ht="34" customHeight="1">
      <c r="A5" s="10" t="inlineStr">
        <is>
          <t>Activity ID</t>
        </is>
      </c>
      <c r="B5" s="10" t="inlineStr">
        <is>
          <t>Date</t>
        </is>
      </c>
      <c r="C5" s="10" t="inlineStr">
        <is>
          <t>Lead ID</t>
        </is>
      </c>
      <c r="D5" s="10" t="inlineStr">
        <is>
          <t>Company / Opportunity</t>
        </is>
      </c>
      <c r="E5" s="10" t="inlineStr">
        <is>
          <t>Activity Type</t>
        </is>
      </c>
      <c r="F5" s="10" t="inlineStr">
        <is>
          <t>Channel</t>
        </is>
      </c>
      <c r="G5" s="10" t="inlineStr">
        <is>
          <t>Outcome</t>
        </is>
      </c>
      <c r="H5" s="10" t="inlineStr">
        <is>
          <t>Qualified?</t>
        </is>
      </c>
      <c r="I5" s="10" t="inlineStr">
        <is>
          <t>Amount USD</t>
        </is>
      </c>
      <c r="J5" s="10" t="inlineStr">
        <is>
          <t>Next Action Date</t>
        </is>
      </c>
      <c r="K5" s="10" t="inlineStr">
        <is>
          <t>Notes</t>
        </is>
      </c>
    </row>
    <row r="6">
      <c r="A6" s="17" t="n"/>
      <c r="B6" s="21" t="n"/>
      <c r="C6" s="17" t="n"/>
      <c r="D6" s="17" t="n"/>
      <c r="E6" s="17" t="n"/>
      <c r="F6" s="17" t="n"/>
      <c r="G6" s="17" t="n"/>
      <c r="H6" s="17" t="n"/>
      <c r="I6" s="18" t="n"/>
      <c r="J6" s="21" t="n"/>
      <c r="K6" s="17" t="n"/>
    </row>
    <row r="7">
      <c r="A7" s="17" t="n"/>
      <c r="B7" s="21" t="n"/>
      <c r="C7" s="17" t="n"/>
      <c r="D7" s="17" t="n"/>
      <c r="E7" s="17" t="n"/>
      <c r="F7" s="17" t="n"/>
      <c r="G7" s="17" t="n"/>
      <c r="H7" s="17" t="n"/>
      <c r="I7" s="18" t="n"/>
      <c r="J7" s="21" t="n"/>
      <c r="K7" s="17" t="n"/>
    </row>
    <row r="8">
      <c r="A8" s="17" t="n"/>
      <c r="B8" s="21" t="n"/>
      <c r="C8" s="17" t="n"/>
      <c r="D8" s="17" t="n"/>
      <c r="E8" s="17" t="n"/>
      <c r="F8" s="17" t="n"/>
      <c r="G8" s="17" t="n"/>
      <c r="H8" s="17" t="n"/>
      <c r="I8" s="18" t="n"/>
      <c r="J8" s="21" t="n"/>
      <c r="K8" s="17" t="n"/>
    </row>
    <row r="9">
      <c r="A9" s="17" t="n"/>
      <c r="B9" s="21" t="n"/>
      <c r="C9" s="17" t="n"/>
      <c r="D9" s="17" t="n"/>
      <c r="E9" s="17" t="n"/>
      <c r="F9" s="17" t="n"/>
      <c r="G9" s="17" t="n"/>
      <c r="H9" s="17" t="n"/>
      <c r="I9" s="18" t="n"/>
      <c r="J9" s="21" t="n"/>
      <c r="K9" s="17" t="n"/>
    </row>
    <row r="10">
      <c r="A10" s="17" t="n"/>
      <c r="B10" s="21" t="n"/>
      <c r="C10" s="17" t="n"/>
      <c r="D10" s="17" t="n"/>
      <c r="E10" s="17" t="n"/>
      <c r="F10" s="17" t="n"/>
      <c r="G10" s="17" t="n"/>
      <c r="H10" s="17" t="n"/>
      <c r="I10" s="18" t="n"/>
      <c r="J10" s="21" t="n"/>
      <c r="K10" s="17" t="n"/>
    </row>
    <row r="11">
      <c r="A11" s="17" t="n"/>
      <c r="B11" s="21" t="n"/>
      <c r="C11" s="17" t="n"/>
      <c r="D11" s="17" t="n"/>
      <c r="E11" s="17" t="n"/>
      <c r="F11" s="17" t="n"/>
      <c r="G11" s="17" t="n"/>
      <c r="H11" s="17" t="n"/>
      <c r="I11" s="18" t="n"/>
      <c r="J11" s="21" t="n"/>
      <c r="K11" s="17" t="n"/>
    </row>
    <row r="12">
      <c r="A12" s="17" t="n"/>
      <c r="B12" s="21" t="n"/>
      <c r="C12" s="17" t="n"/>
      <c r="D12" s="17" t="n"/>
      <c r="E12" s="17" t="n"/>
      <c r="F12" s="17" t="n"/>
      <c r="G12" s="17" t="n"/>
      <c r="H12" s="17" t="n"/>
      <c r="I12" s="18" t="n"/>
      <c r="J12" s="21" t="n"/>
      <c r="K12" s="17" t="n"/>
    </row>
    <row r="13">
      <c r="A13" s="17" t="n"/>
      <c r="B13" s="21" t="n"/>
      <c r="C13" s="17" t="n"/>
      <c r="D13" s="17" t="n"/>
      <c r="E13" s="17" t="n"/>
      <c r="F13" s="17" t="n"/>
      <c r="G13" s="17" t="n"/>
      <c r="H13" s="17" t="n"/>
      <c r="I13" s="18" t="n"/>
      <c r="J13" s="21" t="n"/>
      <c r="K13" s="17" t="n"/>
    </row>
    <row r="14">
      <c r="A14" s="17" t="n"/>
      <c r="B14" s="21" t="n"/>
      <c r="C14" s="17" t="n"/>
      <c r="D14" s="17" t="n"/>
      <c r="E14" s="17" t="n"/>
      <c r="F14" s="17" t="n"/>
      <c r="G14" s="17" t="n"/>
      <c r="H14" s="17" t="n"/>
      <c r="I14" s="18" t="n"/>
      <c r="J14" s="21" t="n"/>
      <c r="K14" s="17" t="n"/>
    </row>
    <row r="15">
      <c r="A15" s="17" t="n"/>
      <c r="B15" s="21" t="n"/>
      <c r="C15" s="17" t="n"/>
      <c r="D15" s="17" t="n"/>
      <c r="E15" s="17" t="n"/>
      <c r="F15" s="17" t="n"/>
      <c r="G15" s="17" t="n"/>
      <c r="H15" s="17" t="n"/>
      <c r="I15" s="18" t="n"/>
      <c r="J15" s="21" t="n"/>
      <c r="K15" s="17" t="n"/>
    </row>
    <row r="16">
      <c r="A16" s="17" t="n"/>
      <c r="B16" s="21" t="n"/>
      <c r="C16" s="17" t="n"/>
      <c r="D16" s="17" t="n"/>
      <c r="E16" s="17" t="n"/>
      <c r="F16" s="17" t="n"/>
      <c r="G16" s="17" t="n"/>
      <c r="H16" s="17" t="n"/>
      <c r="I16" s="18" t="n"/>
      <c r="J16" s="21" t="n"/>
      <c r="K16" s="17" t="n"/>
    </row>
    <row r="17">
      <c r="A17" s="17" t="n"/>
      <c r="B17" s="21" t="n"/>
      <c r="C17" s="17" t="n"/>
      <c r="D17" s="17" t="n"/>
      <c r="E17" s="17" t="n"/>
      <c r="F17" s="17" t="n"/>
      <c r="G17" s="17" t="n"/>
      <c r="H17" s="17" t="n"/>
      <c r="I17" s="18" t="n"/>
      <c r="J17" s="21" t="n"/>
      <c r="K17" s="17" t="n"/>
    </row>
    <row r="18">
      <c r="A18" s="17" t="n"/>
      <c r="B18" s="21" t="n"/>
      <c r="C18" s="17" t="n"/>
      <c r="D18" s="17" t="n"/>
      <c r="E18" s="17" t="n"/>
      <c r="F18" s="17" t="n"/>
      <c r="G18" s="17" t="n"/>
      <c r="H18" s="17" t="n"/>
      <c r="I18" s="18" t="n"/>
      <c r="J18" s="21" t="n"/>
      <c r="K18" s="17" t="n"/>
    </row>
    <row r="19">
      <c r="A19" s="17" t="n"/>
      <c r="B19" s="21" t="n"/>
      <c r="C19" s="17" t="n"/>
      <c r="D19" s="17" t="n"/>
      <c r="E19" s="17" t="n"/>
      <c r="F19" s="17" t="n"/>
      <c r="G19" s="17" t="n"/>
      <c r="H19" s="17" t="n"/>
      <c r="I19" s="18" t="n"/>
      <c r="J19" s="21" t="n"/>
      <c r="K19" s="17" t="n"/>
    </row>
    <row r="20">
      <c r="A20" s="17" t="n"/>
      <c r="B20" s="21" t="n"/>
      <c r="C20" s="17" t="n"/>
      <c r="D20" s="17" t="n"/>
      <c r="E20" s="17" t="n"/>
      <c r="F20" s="17" t="n"/>
      <c r="G20" s="17" t="n"/>
      <c r="H20" s="17" t="n"/>
      <c r="I20" s="18" t="n"/>
      <c r="J20" s="21" t="n"/>
      <c r="K20" s="17" t="n"/>
    </row>
    <row r="21">
      <c r="A21" s="17" t="n"/>
      <c r="B21" s="21" t="n"/>
      <c r="C21" s="17" t="n"/>
      <c r="D21" s="17" t="n"/>
      <c r="E21" s="17" t="n"/>
      <c r="F21" s="17" t="n"/>
      <c r="G21" s="17" t="n"/>
      <c r="H21" s="17" t="n"/>
      <c r="I21" s="18" t="n"/>
      <c r="J21" s="21" t="n"/>
      <c r="K21" s="17" t="n"/>
    </row>
    <row r="22">
      <c r="A22" s="17" t="n"/>
      <c r="B22" s="21" t="n"/>
      <c r="C22" s="17" t="n"/>
      <c r="D22" s="17" t="n"/>
      <c r="E22" s="17" t="n"/>
      <c r="F22" s="17" t="n"/>
      <c r="G22" s="17" t="n"/>
      <c r="H22" s="17" t="n"/>
      <c r="I22" s="18" t="n"/>
      <c r="J22" s="21" t="n"/>
      <c r="K22" s="17" t="n"/>
    </row>
    <row r="23">
      <c r="A23" s="17" t="n"/>
      <c r="B23" s="21" t="n"/>
      <c r="C23" s="17" t="n"/>
      <c r="D23" s="17" t="n"/>
      <c r="E23" s="17" t="n"/>
      <c r="F23" s="17" t="n"/>
      <c r="G23" s="17" t="n"/>
      <c r="H23" s="17" t="n"/>
      <c r="I23" s="18" t="n"/>
      <c r="J23" s="21" t="n"/>
      <c r="K23" s="17" t="n"/>
    </row>
    <row r="24">
      <c r="A24" s="17" t="n"/>
      <c r="B24" s="21" t="n"/>
      <c r="C24" s="17" t="n"/>
      <c r="D24" s="17" t="n"/>
      <c r="E24" s="17" t="n"/>
      <c r="F24" s="17" t="n"/>
      <c r="G24" s="17" t="n"/>
      <c r="H24" s="17" t="n"/>
      <c r="I24" s="18" t="n"/>
      <c r="J24" s="21" t="n"/>
      <c r="K24" s="17" t="n"/>
    </row>
    <row r="25">
      <c r="A25" s="17" t="n"/>
      <c r="B25" s="21" t="n"/>
      <c r="C25" s="17" t="n"/>
      <c r="D25" s="17" t="n"/>
      <c r="E25" s="17" t="n"/>
      <c r="F25" s="17" t="n"/>
      <c r="G25" s="17" t="n"/>
      <c r="H25" s="17" t="n"/>
      <c r="I25" s="18" t="n"/>
      <c r="J25" s="21" t="n"/>
      <c r="K25" s="17" t="n"/>
    </row>
    <row r="26">
      <c r="A26" s="17" t="n"/>
      <c r="B26" s="21" t="n"/>
      <c r="C26" s="17" t="n"/>
      <c r="D26" s="17" t="n"/>
      <c r="E26" s="17" t="n"/>
      <c r="F26" s="17" t="n"/>
      <c r="G26" s="17" t="n"/>
      <c r="H26" s="17" t="n"/>
      <c r="I26" s="18" t="n"/>
      <c r="J26" s="21" t="n"/>
      <c r="K26" s="17" t="n"/>
    </row>
    <row r="27">
      <c r="A27" s="17" t="n"/>
      <c r="B27" s="21" t="n"/>
      <c r="C27" s="17" t="n"/>
      <c r="D27" s="17" t="n"/>
      <c r="E27" s="17" t="n"/>
      <c r="F27" s="17" t="n"/>
      <c r="G27" s="17" t="n"/>
      <c r="H27" s="17" t="n"/>
      <c r="I27" s="18" t="n"/>
      <c r="J27" s="21" t="n"/>
      <c r="K27" s="17" t="n"/>
    </row>
    <row r="28">
      <c r="A28" s="17" t="n"/>
      <c r="B28" s="21" t="n"/>
      <c r="C28" s="17" t="n"/>
      <c r="D28" s="17" t="n"/>
      <c r="E28" s="17" t="n"/>
      <c r="F28" s="17" t="n"/>
      <c r="G28" s="17" t="n"/>
      <c r="H28" s="17" t="n"/>
      <c r="I28" s="18" t="n"/>
      <c r="J28" s="21" t="n"/>
      <c r="K28" s="17" t="n"/>
    </row>
    <row r="29">
      <c r="A29" s="17" t="n"/>
      <c r="B29" s="21" t="n"/>
      <c r="C29" s="17" t="n"/>
      <c r="D29" s="17" t="n"/>
      <c r="E29" s="17" t="n"/>
      <c r="F29" s="17" t="n"/>
      <c r="G29" s="17" t="n"/>
      <c r="H29" s="17" t="n"/>
      <c r="I29" s="18" t="n"/>
      <c r="J29" s="21" t="n"/>
      <c r="K29" s="17" t="n"/>
    </row>
    <row r="30">
      <c r="A30" s="17" t="n"/>
      <c r="B30" s="21" t="n"/>
      <c r="C30" s="17" t="n"/>
      <c r="D30" s="17" t="n"/>
      <c r="E30" s="17" t="n"/>
      <c r="F30" s="17" t="n"/>
      <c r="G30" s="17" t="n"/>
      <c r="H30" s="17" t="n"/>
      <c r="I30" s="18" t="n"/>
      <c r="J30" s="21" t="n"/>
      <c r="K30" s="17" t="n"/>
    </row>
    <row r="31">
      <c r="A31" s="17" t="n"/>
      <c r="B31" s="21" t="n"/>
      <c r="C31" s="17" t="n"/>
      <c r="D31" s="17" t="n"/>
      <c r="E31" s="17" t="n"/>
      <c r="F31" s="17" t="n"/>
      <c r="G31" s="17" t="n"/>
      <c r="H31" s="17" t="n"/>
      <c r="I31" s="18" t="n"/>
      <c r="J31" s="21" t="n"/>
      <c r="K31" s="17" t="n"/>
    </row>
    <row r="32">
      <c r="A32" s="17" t="n"/>
      <c r="B32" s="21" t="n"/>
      <c r="C32" s="17" t="n"/>
      <c r="D32" s="17" t="n"/>
      <c r="E32" s="17" t="n"/>
      <c r="F32" s="17" t="n"/>
      <c r="G32" s="17" t="n"/>
      <c r="H32" s="17" t="n"/>
      <c r="I32" s="18" t="n"/>
      <c r="J32" s="21" t="n"/>
      <c r="K32" s="17" t="n"/>
    </row>
    <row r="33">
      <c r="A33" s="17" t="n"/>
      <c r="B33" s="21" t="n"/>
      <c r="C33" s="17" t="n"/>
      <c r="D33" s="17" t="n"/>
      <c r="E33" s="17" t="n"/>
      <c r="F33" s="17" t="n"/>
      <c r="G33" s="17" t="n"/>
      <c r="H33" s="17" t="n"/>
      <c r="I33" s="18" t="n"/>
      <c r="J33" s="21" t="n"/>
      <c r="K33" s="17" t="n"/>
    </row>
    <row r="34">
      <c r="A34" s="17" t="n"/>
      <c r="B34" s="21" t="n"/>
      <c r="C34" s="17" t="n"/>
      <c r="D34" s="17" t="n"/>
      <c r="E34" s="17" t="n"/>
      <c r="F34" s="17" t="n"/>
      <c r="G34" s="17" t="n"/>
      <c r="H34" s="17" t="n"/>
      <c r="I34" s="18" t="n"/>
      <c r="J34" s="21" t="n"/>
      <c r="K34" s="17" t="n"/>
    </row>
    <row r="35">
      <c r="A35" s="17" t="n"/>
      <c r="B35" s="21" t="n"/>
      <c r="C35" s="17" t="n"/>
      <c r="D35" s="17" t="n"/>
      <c r="E35" s="17" t="n"/>
      <c r="F35" s="17" t="n"/>
      <c r="G35" s="17" t="n"/>
      <c r="H35" s="17" t="n"/>
      <c r="I35" s="18" t="n"/>
      <c r="J35" s="21" t="n"/>
      <c r="K35" s="17" t="n"/>
    </row>
    <row r="36">
      <c r="A36" s="17" t="n"/>
      <c r="B36" s="21" t="n"/>
      <c r="C36" s="17" t="n"/>
      <c r="D36" s="17" t="n"/>
      <c r="E36" s="17" t="n"/>
      <c r="F36" s="17" t="n"/>
      <c r="G36" s="17" t="n"/>
      <c r="H36" s="17" t="n"/>
      <c r="I36" s="18" t="n"/>
      <c r="J36" s="21" t="n"/>
      <c r="K36" s="17" t="n"/>
    </row>
    <row r="37">
      <c r="A37" s="17" t="n"/>
      <c r="B37" s="21" t="n"/>
      <c r="C37" s="17" t="n"/>
      <c r="D37" s="17" t="n"/>
      <c r="E37" s="17" t="n"/>
      <c r="F37" s="17" t="n"/>
      <c r="G37" s="17" t="n"/>
      <c r="H37" s="17" t="n"/>
      <c r="I37" s="18" t="n"/>
      <c r="J37" s="21" t="n"/>
      <c r="K37" s="17" t="n"/>
    </row>
    <row r="38">
      <c r="A38" s="17" t="n"/>
      <c r="B38" s="21" t="n"/>
      <c r="C38" s="17" t="n"/>
      <c r="D38" s="17" t="n"/>
      <c r="E38" s="17" t="n"/>
      <c r="F38" s="17" t="n"/>
      <c r="G38" s="17" t="n"/>
      <c r="H38" s="17" t="n"/>
      <c r="I38" s="18" t="n"/>
      <c r="J38" s="21" t="n"/>
      <c r="K38" s="17" t="n"/>
    </row>
    <row r="39">
      <c r="A39" s="17" t="n"/>
      <c r="B39" s="21" t="n"/>
      <c r="C39" s="17" t="n"/>
      <c r="D39" s="17" t="n"/>
      <c r="E39" s="17" t="n"/>
      <c r="F39" s="17" t="n"/>
      <c r="G39" s="17" t="n"/>
      <c r="H39" s="17" t="n"/>
      <c r="I39" s="18" t="n"/>
      <c r="J39" s="21" t="n"/>
      <c r="K39" s="17" t="n"/>
    </row>
    <row r="40">
      <c r="A40" s="17" t="n"/>
      <c r="B40" s="21" t="n"/>
      <c r="C40" s="17" t="n"/>
      <c r="D40" s="17" t="n"/>
      <c r="E40" s="17" t="n"/>
      <c r="F40" s="17" t="n"/>
      <c r="G40" s="17" t="n"/>
      <c r="H40" s="17" t="n"/>
      <c r="I40" s="18" t="n"/>
      <c r="J40" s="21" t="n"/>
      <c r="K40" s="17" t="n"/>
    </row>
    <row r="41">
      <c r="A41" s="17" t="n"/>
      <c r="B41" s="21" t="n"/>
      <c r="C41" s="17" t="n"/>
      <c r="D41" s="17" t="n"/>
      <c r="E41" s="17" t="n"/>
      <c r="F41" s="17" t="n"/>
      <c r="G41" s="17" t="n"/>
      <c r="H41" s="17" t="n"/>
      <c r="I41" s="18" t="n"/>
      <c r="J41" s="21" t="n"/>
      <c r="K41" s="17" t="n"/>
    </row>
    <row r="42">
      <c r="A42" s="17" t="n"/>
      <c r="B42" s="21" t="n"/>
      <c r="C42" s="17" t="n"/>
      <c r="D42" s="17" t="n"/>
      <c r="E42" s="17" t="n"/>
      <c r="F42" s="17" t="n"/>
      <c r="G42" s="17" t="n"/>
      <c r="H42" s="17" t="n"/>
      <c r="I42" s="18" t="n"/>
      <c r="J42" s="21" t="n"/>
      <c r="K42" s="17" t="n"/>
    </row>
    <row r="43">
      <c r="A43" s="17" t="n"/>
      <c r="B43" s="21" t="n"/>
      <c r="C43" s="17" t="n"/>
      <c r="D43" s="17" t="n"/>
      <c r="E43" s="17" t="n"/>
      <c r="F43" s="17" t="n"/>
      <c r="G43" s="17" t="n"/>
      <c r="H43" s="17" t="n"/>
      <c r="I43" s="18" t="n"/>
      <c r="J43" s="21" t="n"/>
      <c r="K43" s="17" t="n"/>
    </row>
    <row r="44">
      <c r="A44" s="17" t="n"/>
      <c r="B44" s="21" t="n"/>
      <c r="C44" s="17" t="n"/>
      <c r="D44" s="17" t="n"/>
      <c r="E44" s="17" t="n"/>
      <c r="F44" s="17" t="n"/>
      <c r="G44" s="17" t="n"/>
      <c r="H44" s="17" t="n"/>
      <c r="I44" s="18" t="n"/>
      <c r="J44" s="21" t="n"/>
      <c r="K44" s="17" t="n"/>
    </row>
    <row r="45">
      <c r="A45" s="17" t="n"/>
      <c r="B45" s="21" t="n"/>
      <c r="C45" s="17" t="n"/>
      <c r="D45" s="17" t="n"/>
      <c r="E45" s="17" t="n"/>
      <c r="F45" s="17" t="n"/>
      <c r="G45" s="17" t="n"/>
      <c r="H45" s="17" t="n"/>
      <c r="I45" s="18" t="n"/>
      <c r="J45" s="21" t="n"/>
      <c r="K45" s="17" t="n"/>
    </row>
    <row r="46">
      <c r="A46" s="17" t="n"/>
      <c r="B46" s="21" t="n"/>
      <c r="C46" s="17" t="n"/>
      <c r="D46" s="17" t="n"/>
      <c r="E46" s="17" t="n"/>
      <c r="F46" s="17" t="n"/>
      <c r="G46" s="17" t="n"/>
      <c r="H46" s="17" t="n"/>
      <c r="I46" s="18" t="n"/>
      <c r="J46" s="21" t="n"/>
      <c r="K46" s="17" t="n"/>
    </row>
    <row r="47">
      <c r="A47" s="17" t="n"/>
      <c r="B47" s="21" t="n"/>
      <c r="C47" s="17" t="n"/>
      <c r="D47" s="17" t="n"/>
      <c r="E47" s="17" t="n"/>
      <c r="F47" s="17" t="n"/>
      <c r="G47" s="17" t="n"/>
      <c r="H47" s="17" t="n"/>
      <c r="I47" s="18" t="n"/>
      <c r="J47" s="21" t="n"/>
      <c r="K47" s="17" t="n"/>
    </row>
    <row r="48">
      <c r="A48" s="17" t="n"/>
      <c r="B48" s="21" t="n"/>
      <c r="C48" s="17" t="n"/>
      <c r="D48" s="17" t="n"/>
      <c r="E48" s="17" t="n"/>
      <c r="F48" s="17" t="n"/>
      <c r="G48" s="17" t="n"/>
      <c r="H48" s="17" t="n"/>
      <c r="I48" s="18" t="n"/>
      <c r="J48" s="21" t="n"/>
      <c r="K48" s="17" t="n"/>
    </row>
    <row r="49">
      <c r="A49" s="17" t="n"/>
      <c r="B49" s="21" t="n"/>
      <c r="C49" s="17" t="n"/>
      <c r="D49" s="17" t="n"/>
      <c r="E49" s="17" t="n"/>
      <c r="F49" s="17" t="n"/>
      <c r="G49" s="17" t="n"/>
      <c r="H49" s="17" t="n"/>
      <c r="I49" s="18" t="n"/>
      <c r="J49" s="21" t="n"/>
      <c r="K49" s="17" t="n"/>
    </row>
    <row r="50">
      <c r="A50" s="17" t="n"/>
      <c r="B50" s="21" t="n"/>
      <c r="C50" s="17" t="n"/>
      <c r="D50" s="17" t="n"/>
      <c r="E50" s="17" t="n"/>
      <c r="F50" s="17" t="n"/>
      <c r="G50" s="17" t="n"/>
      <c r="H50" s="17" t="n"/>
      <c r="I50" s="18" t="n"/>
      <c r="J50" s="21" t="n"/>
      <c r="K50" s="17" t="n"/>
    </row>
    <row r="51">
      <c r="A51" s="17" t="n"/>
      <c r="B51" s="21" t="n"/>
      <c r="C51" s="17" t="n"/>
      <c r="D51" s="17" t="n"/>
      <c r="E51" s="17" t="n"/>
      <c r="F51" s="17" t="n"/>
      <c r="G51" s="17" t="n"/>
      <c r="H51" s="17" t="n"/>
      <c r="I51" s="18" t="n"/>
      <c r="J51" s="21" t="n"/>
      <c r="K51" s="17" t="n"/>
    </row>
    <row r="52">
      <c r="A52" s="17" t="n"/>
      <c r="B52" s="21" t="n"/>
      <c r="C52" s="17" t="n"/>
      <c r="D52" s="17" t="n"/>
      <c r="E52" s="17" t="n"/>
      <c r="F52" s="17" t="n"/>
      <c r="G52" s="17" t="n"/>
      <c r="H52" s="17" t="n"/>
      <c r="I52" s="18" t="n"/>
      <c r="J52" s="21" t="n"/>
      <c r="K52" s="17" t="n"/>
    </row>
    <row r="53">
      <c r="A53" s="17" t="n"/>
      <c r="B53" s="21" t="n"/>
      <c r="C53" s="17" t="n"/>
      <c r="D53" s="17" t="n"/>
      <c r="E53" s="17" t="n"/>
      <c r="F53" s="17" t="n"/>
      <c r="G53" s="17" t="n"/>
      <c r="H53" s="17" t="n"/>
      <c r="I53" s="18" t="n"/>
      <c r="J53" s="21" t="n"/>
      <c r="K53" s="17" t="n"/>
    </row>
    <row r="54">
      <c r="A54" s="17" t="n"/>
      <c r="B54" s="21" t="n"/>
      <c r="C54" s="17" t="n"/>
      <c r="D54" s="17" t="n"/>
      <c r="E54" s="17" t="n"/>
      <c r="F54" s="17" t="n"/>
      <c r="G54" s="17" t="n"/>
      <c r="H54" s="17" t="n"/>
      <c r="I54" s="18" t="n"/>
      <c r="J54" s="21" t="n"/>
      <c r="K54" s="17" t="n"/>
    </row>
    <row r="55">
      <c r="A55" s="17" t="n"/>
      <c r="B55" s="21" t="n"/>
      <c r="C55" s="17" t="n"/>
      <c r="D55" s="17" t="n"/>
      <c r="E55" s="17" t="n"/>
      <c r="F55" s="17" t="n"/>
      <c r="G55" s="17" t="n"/>
      <c r="H55" s="17" t="n"/>
      <c r="I55" s="18" t="n"/>
      <c r="J55" s="21" t="n"/>
      <c r="K55" s="17" t="n"/>
    </row>
    <row r="56">
      <c r="A56" s="17" t="n"/>
      <c r="B56" s="21" t="n"/>
      <c r="C56" s="17" t="n"/>
      <c r="D56" s="17" t="n"/>
      <c r="E56" s="17" t="n"/>
      <c r="F56" s="17" t="n"/>
      <c r="G56" s="17" t="n"/>
      <c r="H56" s="17" t="n"/>
      <c r="I56" s="18" t="n"/>
      <c r="J56" s="21" t="n"/>
      <c r="K56" s="17" t="n"/>
    </row>
    <row r="57">
      <c r="A57" s="17" t="n"/>
      <c r="B57" s="21" t="n"/>
      <c r="C57" s="17" t="n"/>
      <c r="D57" s="17" t="n"/>
      <c r="E57" s="17" t="n"/>
      <c r="F57" s="17" t="n"/>
      <c r="G57" s="17" t="n"/>
      <c r="H57" s="17" t="n"/>
      <c r="I57" s="18" t="n"/>
      <c r="J57" s="21" t="n"/>
      <c r="K57" s="17" t="n"/>
    </row>
    <row r="58">
      <c r="A58" s="17" t="n"/>
      <c r="B58" s="21" t="n"/>
      <c r="C58" s="17" t="n"/>
      <c r="D58" s="17" t="n"/>
      <c r="E58" s="17" t="n"/>
      <c r="F58" s="17" t="n"/>
      <c r="G58" s="17" t="n"/>
      <c r="H58" s="17" t="n"/>
      <c r="I58" s="18" t="n"/>
      <c r="J58" s="21" t="n"/>
      <c r="K58" s="17" t="n"/>
    </row>
    <row r="59">
      <c r="A59" s="17" t="n"/>
      <c r="B59" s="21" t="n"/>
      <c r="C59" s="17" t="n"/>
      <c r="D59" s="17" t="n"/>
      <c r="E59" s="17" t="n"/>
      <c r="F59" s="17" t="n"/>
      <c r="G59" s="17" t="n"/>
      <c r="H59" s="17" t="n"/>
      <c r="I59" s="18" t="n"/>
      <c r="J59" s="21" t="n"/>
      <c r="K59" s="17" t="n"/>
    </row>
    <row r="60">
      <c r="A60" s="17" t="n"/>
      <c r="B60" s="21" t="n"/>
      <c r="C60" s="17" t="n"/>
      <c r="D60" s="17" t="n"/>
      <c r="E60" s="17" t="n"/>
      <c r="F60" s="17" t="n"/>
      <c r="G60" s="17" t="n"/>
      <c r="H60" s="17" t="n"/>
      <c r="I60" s="18" t="n"/>
      <c r="J60" s="21" t="n"/>
      <c r="K60" s="17" t="n"/>
    </row>
    <row r="61">
      <c r="A61" s="17" t="n"/>
      <c r="B61" s="21" t="n"/>
      <c r="C61" s="17" t="n"/>
      <c r="D61" s="17" t="n"/>
      <c r="E61" s="17" t="n"/>
      <c r="F61" s="17" t="n"/>
      <c r="G61" s="17" t="n"/>
      <c r="H61" s="17" t="n"/>
      <c r="I61" s="18" t="n"/>
      <c r="J61" s="21" t="n"/>
      <c r="K61" s="17" t="n"/>
    </row>
    <row r="62">
      <c r="A62" s="17" t="n"/>
      <c r="B62" s="21" t="n"/>
      <c r="C62" s="17" t="n"/>
      <c r="D62" s="17" t="n"/>
      <c r="E62" s="17" t="n"/>
      <c r="F62" s="17" t="n"/>
      <c r="G62" s="17" t="n"/>
      <c r="H62" s="17" t="n"/>
      <c r="I62" s="18" t="n"/>
      <c r="J62" s="21" t="n"/>
      <c r="K62" s="17" t="n"/>
    </row>
    <row r="63">
      <c r="A63" s="17" t="n"/>
      <c r="B63" s="21" t="n"/>
      <c r="C63" s="17" t="n"/>
      <c r="D63" s="17" t="n"/>
      <c r="E63" s="17" t="n"/>
      <c r="F63" s="17" t="n"/>
      <c r="G63" s="17" t="n"/>
      <c r="H63" s="17" t="n"/>
      <c r="I63" s="18" t="n"/>
      <c r="J63" s="21" t="n"/>
      <c r="K63" s="17" t="n"/>
    </row>
    <row r="64">
      <c r="A64" s="17" t="n"/>
      <c r="B64" s="21" t="n"/>
      <c r="C64" s="17" t="n"/>
      <c r="D64" s="17" t="n"/>
      <c r="E64" s="17" t="n"/>
      <c r="F64" s="17" t="n"/>
      <c r="G64" s="17" t="n"/>
      <c r="H64" s="17" t="n"/>
      <c r="I64" s="18" t="n"/>
      <c r="J64" s="21" t="n"/>
      <c r="K64" s="17" t="n"/>
    </row>
    <row r="65">
      <c r="A65" s="17" t="n"/>
      <c r="B65" s="21" t="n"/>
      <c r="C65" s="17" t="n"/>
      <c r="D65" s="17" t="n"/>
      <c r="E65" s="17" t="n"/>
      <c r="F65" s="17" t="n"/>
      <c r="G65" s="17" t="n"/>
      <c r="H65" s="17" t="n"/>
      <c r="I65" s="18" t="n"/>
      <c r="J65" s="21" t="n"/>
      <c r="K65" s="17" t="n"/>
    </row>
    <row r="66">
      <c r="A66" s="17" t="n"/>
      <c r="B66" s="21" t="n"/>
      <c r="C66" s="17" t="n"/>
      <c r="D66" s="17" t="n"/>
      <c r="E66" s="17" t="n"/>
      <c r="F66" s="17" t="n"/>
      <c r="G66" s="17" t="n"/>
      <c r="H66" s="17" t="n"/>
      <c r="I66" s="18" t="n"/>
      <c r="J66" s="21" t="n"/>
      <c r="K66" s="17" t="n"/>
    </row>
    <row r="67">
      <c r="A67" s="17" t="n"/>
      <c r="B67" s="21" t="n"/>
      <c r="C67" s="17" t="n"/>
      <c r="D67" s="17" t="n"/>
      <c r="E67" s="17" t="n"/>
      <c r="F67" s="17" t="n"/>
      <c r="G67" s="17" t="n"/>
      <c r="H67" s="17" t="n"/>
      <c r="I67" s="18" t="n"/>
      <c r="J67" s="21" t="n"/>
      <c r="K67" s="17" t="n"/>
    </row>
    <row r="68">
      <c r="A68" s="17" t="n"/>
      <c r="B68" s="21" t="n"/>
      <c r="C68" s="17" t="n"/>
      <c r="D68" s="17" t="n"/>
      <c r="E68" s="17" t="n"/>
      <c r="F68" s="17" t="n"/>
      <c r="G68" s="17" t="n"/>
      <c r="H68" s="17" t="n"/>
      <c r="I68" s="18" t="n"/>
      <c r="J68" s="21" t="n"/>
      <c r="K68" s="17" t="n"/>
    </row>
    <row r="69">
      <c r="A69" s="17" t="n"/>
      <c r="B69" s="21" t="n"/>
      <c r="C69" s="17" t="n"/>
      <c r="D69" s="17" t="n"/>
      <c r="E69" s="17" t="n"/>
      <c r="F69" s="17" t="n"/>
      <c r="G69" s="17" t="n"/>
      <c r="H69" s="17" t="n"/>
      <c r="I69" s="18" t="n"/>
      <c r="J69" s="21" t="n"/>
      <c r="K69" s="17" t="n"/>
    </row>
    <row r="70">
      <c r="A70" s="17" t="n"/>
      <c r="B70" s="21" t="n"/>
      <c r="C70" s="17" t="n"/>
      <c r="D70" s="17" t="n"/>
      <c r="E70" s="17" t="n"/>
      <c r="F70" s="17" t="n"/>
      <c r="G70" s="17" t="n"/>
      <c r="H70" s="17" t="n"/>
      <c r="I70" s="18" t="n"/>
      <c r="J70" s="21" t="n"/>
      <c r="K70" s="17" t="n"/>
    </row>
    <row r="71">
      <c r="A71" s="17" t="n"/>
      <c r="B71" s="21" t="n"/>
      <c r="C71" s="17" t="n"/>
      <c r="D71" s="17" t="n"/>
      <c r="E71" s="17" t="n"/>
      <c r="F71" s="17" t="n"/>
      <c r="G71" s="17" t="n"/>
      <c r="H71" s="17" t="n"/>
      <c r="I71" s="18" t="n"/>
      <c r="J71" s="21" t="n"/>
      <c r="K71" s="17" t="n"/>
    </row>
    <row r="72">
      <c r="A72" s="17" t="n"/>
      <c r="B72" s="21" t="n"/>
      <c r="C72" s="17" t="n"/>
      <c r="D72" s="17" t="n"/>
      <c r="E72" s="17" t="n"/>
      <c r="F72" s="17" t="n"/>
      <c r="G72" s="17" t="n"/>
      <c r="H72" s="17" t="n"/>
      <c r="I72" s="18" t="n"/>
      <c r="J72" s="21" t="n"/>
      <c r="K72" s="17" t="n"/>
    </row>
    <row r="73">
      <c r="A73" s="17" t="n"/>
      <c r="B73" s="21" t="n"/>
      <c r="C73" s="17" t="n"/>
      <c r="D73" s="17" t="n"/>
      <c r="E73" s="17" t="n"/>
      <c r="F73" s="17" t="n"/>
      <c r="G73" s="17" t="n"/>
      <c r="H73" s="17" t="n"/>
      <c r="I73" s="18" t="n"/>
      <c r="J73" s="21" t="n"/>
      <c r="K73" s="17" t="n"/>
    </row>
    <row r="74">
      <c r="A74" s="17" t="n"/>
      <c r="B74" s="21" t="n"/>
      <c r="C74" s="17" t="n"/>
      <c r="D74" s="17" t="n"/>
      <c r="E74" s="17" t="n"/>
      <c r="F74" s="17" t="n"/>
      <c r="G74" s="17" t="n"/>
      <c r="H74" s="17" t="n"/>
      <c r="I74" s="18" t="n"/>
      <c r="J74" s="21" t="n"/>
      <c r="K74" s="17" t="n"/>
    </row>
    <row r="75">
      <c r="A75" s="17" t="n"/>
      <c r="B75" s="21" t="n"/>
      <c r="C75" s="17" t="n"/>
      <c r="D75" s="17" t="n"/>
      <c r="E75" s="17" t="n"/>
      <c r="F75" s="17" t="n"/>
      <c r="G75" s="17" t="n"/>
      <c r="H75" s="17" t="n"/>
      <c r="I75" s="18" t="n"/>
      <c r="J75" s="21" t="n"/>
      <c r="K75" s="17" t="n"/>
    </row>
    <row r="76">
      <c r="A76" s="17" t="n"/>
      <c r="B76" s="21" t="n"/>
      <c r="C76" s="17" t="n"/>
      <c r="D76" s="17" t="n"/>
      <c r="E76" s="17" t="n"/>
      <c r="F76" s="17" t="n"/>
      <c r="G76" s="17" t="n"/>
      <c r="H76" s="17" t="n"/>
      <c r="I76" s="18" t="n"/>
      <c r="J76" s="21" t="n"/>
      <c r="K76" s="17" t="n"/>
    </row>
    <row r="77">
      <c r="A77" s="17" t="n"/>
      <c r="B77" s="21" t="n"/>
      <c r="C77" s="17" t="n"/>
      <c r="D77" s="17" t="n"/>
      <c r="E77" s="17" t="n"/>
      <c r="F77" s="17" t="n"/>
      <c r="G77" s="17" t="n"/>
      <c r="H77" s="17" t="n"/>
      <c r="I77" s="18" t="n"/>
      <c r="J77" s="21" t="n"/>
      <c r="K77" s="17" t="n"/>
    </row>
    <row r="78">
      <c r="A78" s="17" t="n"/>
      <c r="B78" s="21" t="n"/>
      <c r="C78" s="17" t="n"/>
      <c r="D78" s="17" t="n"/>
      <c r="E78" s="17" t="n"/>
      <c r="F78" s="17" t="n"/>
      <c r="G78" s="17" t="n"/>
      <c r="H78" s="17" t="n"/>
      <c r="I78" s="18" t="n"/>
      <c r="J78" s="21" t="n"/>
      <c r="K78" s="17" t="n"/>
    </row>
    <row r="79">
      <c r="A79" s="17" t="n"/>
      <c r="B79" s="21" t="n"/>
      <c r="C79" s="17" t="n"/>
      <c r="D79" s="17" t="n"/>
      <c r="E79" s="17" t="n"/>
      <c r="F79" s="17" t="n"/>
      <c r="G79" s="17" t="n"/>
      <c r="H79" s="17" t="n"/>
      <c r="I79" s="18" t="n"/>
      <c r="J79" s="21" t="n"/>
      <c r="K79" s="17" t="n"/>
    </row>
    <row r="80">
      <c r="A80" s="17" t="n"/>
      <c r="B80" s="21" t="n"/>
      <c r="C80" s="17" t="n"/>
      <c r="D80" s="17" t="n"/>
      <c r="E80" s="17" t="n"/>
      <c r="F80" s="17" t="n"/>
      <c r="G80" s="17" t="n"/>
      <c r="H80" s="17" t="n"/>
      <c r="I80" s="18" t="n"/>
      <c r="J80" s="21" t="n"/>
      <c r="K80" s="17" t="n"/>
    </row>
    <row r="81">
      <c r="A81" s="17" t="n"/>
      <c r="B81" s="21" t="n"/>
      <c r="C81" s="17" t="n"/>
      <c r="D81" s="17" t="n"/>
      <c r="E81" s="17" t="n"/>
      <c r="F81" s="17" t="n"/>
      <c r="G81" s="17" t="n"/>
      <c r="H81" s="17" t="n"/>
      <c r="I81" s="18" t="n"/>
      <c r="J81" s="21" t="n"/>
      <c r="K81" s="17" t="n"/>
    </row>
    <row r="82">
      <c r="A82" s="17" t="n"/>
      <c r="B82" s="21" t="n"/>
      <c r="C82" s="17" t="n"/>
      <c r="D82" s="17" t="n"/>
      <c r="E82" s="17" t="n"/>
      <c r="F82" s="17" t="n"/>
      <c r="G82" s="17" t="n"/>
      <c r="H82" s="17" t="n"/>
      <c r="I82" s="18" t="n"/>
      <c r="J82" s="21" t="n"/>
      <c r="K82" s="17" t="n"/>
    </row>
    <row r="83">
      <c r="A83" s="17" t="n"/>
      <c r="B83" s="21" t="n"/>
      <c r="C83" s="17" t="n"/>
      <c r="D83" s="17" t="n"/>
      <c r="E83" s="17" t="n"/>
      <c r="F83" s="17" t="n"/>
      <c r="G83" s="17" t="n"/>
      <c r="H83" s="17" t="n"/>
      <c r="I83" s="18" t="n"/>
      <c r="J83" s="21" t="n"/>
      <c r="K83" s="17" t="n"/>
    </row>
    <row r="84">
      <c r="A84" s="17" t="n"/>
      <c r="B84" s="21" t="n"/>
      <c r="C84" s="17" t="n"/>
      <c r="D84" s="17" t="n"/>
      <c r="E84" s="17" t="n"/>
      <c r="F84" s="17" t="n"/>
      <c r="G84" s="17" t="n"/>
      <c r="H84" s="17" t="n"/>
      <c r="I84" s="18" t="n"/>
      <c r="J84" s="21" t="n"/>
      <c r="K84" s="17" t="n"/>
    </row>
    <row r="85">
      <c r="A85" s="17" t="n"/>
      <c r="B85" s="21" t="n"/>
      <c r="C85" s="17" t="n"/>
      <c r="D85" s="17" t="n"/>
      <c r="E85" s="17" t="n"/>
      <c r="F85" s="17" t="n"/>
      <c r="G85" s="17" t="n"/>
      <c r="H85" s="17" t="n"/>
      <c r="I85" s="18" t="n"/>
      <c r="J85" s="21" t="n"/>
      <c r="K85" s="17" t="n"/>
    </row>
    <row r="86">
      <c r="A86" s="17" t="n"/>
      <c r="B86" s="21" t="n"/>
      <c r="C86" s="17" t="n"/>
      <c r="D86" s="17" t="n"/>
      <c r="E86" s="17" t="n"/>
      <c r="F86" s="17" t="n"/>
      <c r="G86" s="17" t="n"/>
      <c r="H86" s="17" t="n"/>
      <c r="I86" s="18" t="n"/>
      <c r="J86" s="21" t="n"/>
      <c r="K86" s="17" t="n"/>
    </row>
    <row r="87">
      <c r="A87" s="17" t="n"/>
      <c r="B87" s="21" t="n"/>
      <c r="C87" s="17" t="n"/>
      <c r="D87" s="17" t="n"/>
      <c r="E87" s="17" t="n"/>
      <c r="F87" s="17" t="n"/>
      <c r="G87" s="17" t="n"/>
      <c r="H87" s="17" t="n"/>
      <c r="I87" s="18" t="n"/>
      <c r="J87" s="21" t="n"/>
      <c r="K87" s="17" t="n"/>
    </row>
    <row r="88">
      <c r="A88" s="17" t="n"/>
      <c r="B88" s="21" t="n"/>
      <c r="C88" s="17" t="n"/>
      <c r="D88" s="17" t="n"/>
      <c r="E88" s="17" t="n"/>
      <c r="F88" s="17" t="n"/>
      <c r="G88" s="17" t="n"/>
      <c r="H88" s="17" t="n"/>
      <c r="I88" s="18" t="n"/>
      <c r="J88" s="21" t="n"/>
      <c r="K88" s="17" t="n"/>
    </row>
    <row r="89">
      <c r="A89" s="17" t="n"/>
      <c r="B89" s="21" t="n"/>
      <c r="C89" s="17" t="n"/>
      <c r="D89" s="17" t="n"/>
      <c r="E89" s="17" t="n"/>
      <c r="F89" s="17" t="n"/>
      <c r="G89" s="17" t="n"/>
      <c r="H89" s="17" t="n"/>
      <c r="I89" s="18" t="n"/>
      <c r="J89" s="21" t="n"/>
      <c r="K89" s="17" t="n"/>
    </row>
    <row r="90">
      <c r="A90" s="17" t="n"/>
      <c r="B90" s="21" t="n"/>
      <c r="C90" s="17" t="n"/>
      <c r="D90" s="17" t="n"/>
      <c r="E90" s="17" t="n"/>
      <c r="F90" s="17" t="n"/>
      <c r="G90" s="17" t="n"/>
      <c r="H90" s="17" t="n"/>
      <c r="I90" s="18" t="n"/>
      <c r="J90" s="21" t="n"/>
      <c r="K90" s="17" t="n"/>
    </row>
    <row r="91">
      <c r="A91" s="17" t="n"/>
      <c r="B91" s="21" t="n"/>
      <c r="C91" s="17" t="n"/>
      <c r="D91" s="17" t="n"/>
      <c r="E91" s="17" t="n"/>
      <c r="F91" s="17" t="n"/>
      <c r="G91" s="17" t="n"/>
      <c r="H91" s="17" t="n"/>
      <c r="I91" s="18" t="n"/>
      <c r="J91" s="21" t="n"/>
      <c r="K91" s="17" t="n"/>
    </row>
    <row r="92">
      <c r="A92" s="17" t="n"/>
      <c r="B92" s="21" t="n"/>
      <c r="C92" s="17" t="n"/>
      <c r="D92" s="17" t="n"/>
      <c r="E92" s="17" t="n"/>
      <c r="F92" s="17" t="n"/>
      <c r="G92" s="17" t="n"/>
      <c r="H92" s="17" t="n"/>
      <c r="I92" s="18" t="n"/>
      <c r="J92" s="21" t="n"/>
      <c r="K92" s="17" t="n"/>
    </row>
    <row r="93">
      <c r="A93" s="17" t="n"/>
      <c r="B93" s="21" t="n"/>
      <c r="C93" s="17" t="n"/>
      <c r="D93" s="17" t="n"/>
      <c r="E93" s="17" t="n"/>
      <c r="F93" s="17" t="n"/>
      <c r="G93" s="17" t="n"/>
      <c r="H93" s="17" t="n"/>
      <c r="I93" s="18" t="n"/>
      <c r="J93" s="21" t="n"/>
      <c r="K93" s="17" t="n"/>
    </row>
    <row r="94">
      <c r="A94" s="17" t="n"/>
      <c r="B94" s="21" t="n"/>
      <c r="C94" s="17" t="n"/>
      <c r="D94" s="17" t="n"/>
      <c r="E94" s="17" t="n"/>
      <c r="F94" s="17" t="n"/>
      <c r="G94" s="17" t="n"/>
      <c r="H94" s="17" t="n"/>
      <c r="I94" s="18" t="n"/>
      <c r="J94" s="21" t="n"/>
      <c r="K94" s="17" t="n"/>
    </row>
    <row r="95">
      <c r="A95" s="17" t="n"/>
      <c r="B95" s="21" t="n"/>
      <c r="C95" s="17" t="n"/>
      <c r="D95" s="17" t="n"/>
      <c r="E95" s="17" t="n"/>
      <c r="F95" s="17" t="n"/>
      <c r="G95" s="17" t="n"/>
      <c r="H95" s="17" t="n"/>
      <c r="I95" s="18" t="n"/>
      <c r="J95" s="21" t="n"/>
      <c r="K95" s="17" t="n"/>
    </row>
    <row r="96">
      <c r="A96" s="17" t="n"/>
      <c r="B96" s="21" t="n"/>
      <c r="C96" s="17" t="n"/>
      <c r="D96" s="17" t="n"/>
      <c r="E96" s="17" t="n"/>
      <c r="F96" s="17" t="n"/>
      <c r="G96" s="17" t="n"/>
      <c r="H96" s="17" t="n"/>
      <c r="I96" s="18" t="n"/>
      <c r="J96" s="21" t="n"/>
      <c r="K96" s="17" t="n"/>
    </row>
    <row r="97">
      <c r="A97" s="17" t="n"/>
      <c r="B97" s="21" t="n"/>
      <c r="C97" s="17" t="n"/>
      <c r="D97" s="17" t="n"/>
      <c r="E97" s="17" t="n"/>
      <c r="F97" s="17" t="n"/>
      <c r="G97" s="17" t="n"/>
      <c r="H97" s="17" t="n"/>
      <c r="I97" s="18" t="n"/>
      <c r="J97" s="21" t="n"/>
      <c r="K97" s="17" t="n"/>
    </row>
    <row r="98">
      <c r="A98" s="17" t="n"/>
      <c r="B98" s="21" t="n"/>
      <c r="C98" s="17" t="n"/>
      <c r="D98" s="17" t="n"/>
      <c r="E98" s="17" t="n"/>
      <c r="F98" s="17" t="n"/>
      <c r="G98" s="17" t="n"/>
      <c r="H98" s="17" t="n"/>
      <c r="I98" s="18" t="n"/>
      <c r="J98" s="21" t="n"/>
      <c r="K98" s="17" t="n"/>
    </row>
    <row r="99">
      <c r="A99" s="17" t="n"/>
      <c r="B99" s="21" t="n"/>
      <c r="C99" s="17" t="n"/>
      <c r="D99" s="17" t="n"/>
      <c r="E99" s="17" t="n"/>
      <c r="F99" s="17" t="n"/>
      <c r="G99" s="17" t="n"/>
      <c r="H99" s="17" t="n"/>
      <c r="I99" s="18" t="n"/>
      <c r="J99" s="21" t="n"/>
      <c r="K99" s="17" t="n"/>
    </row>
    <row r="100">
      <c r="A100" s="17" t="n"/>
      <c r="B100" s="21" t="n"/>
      <c r="C100" s="17" t="n"/>
      <c r="D100" s="17" t="n"/>
      <c r="E100" s="17" t="n"/>
      <c r="F100" s="17" t="n"/>
      <c r="G100" s="17" t="n"/>
      <c r="H100" s="17" t="n"/>
      <c r="I100" s="18" t="n"/>
      <c r="J100" s="21" t="n"/>
      <c r="K100" s="17" t="n"/>
    </row>
    <row r="101">
      <c r="A101" s="17" t="n"/>
      <c r="B101" s="21" t="n"/>
      <c r="C101" s="17" t="n"/>
      <c r="D101" s="17" t="n"/>
      <c r="E101" s="17" t="n"/>
      <c r="F101" s="17" t="n"/>
      <c r="G101" s="17" t="n"/>
      <c r="H101" s="17" t="n"/>
      <c r="I101" s="18" t="n"/>
      <c r="J101" s="21" t="n"/>
      <c r="K101" s="17" t="n"/>
    </row>
    <row r="102">
      <c r="A102" s="17" t="n"/>
      <c r="B102" s="21" t="n"/>
      <c r="C102" s="17" t="n"/>
      <c r="D102" s="17" t="n"/>
      <c r="E102" s="17" t="n"/>
      <c r="F102" s="17" t="n"/>
      <c r="G102" s="17" t="n"/>
      <c r="H102" s="17" t="n"/>
      <c r="I102" s="18" t="n"/>
      <c r="J102" s="21" t="n"/>
      <c r="K102" s="17" t="n"/>
    </row>
    <row r="103">
      <c r="A103" s="17" t="n"/>
      <c r="B103" s="21" t="n"/>
      <c r="C103" s="17" t="n"/>
      <c r="D103" s="17" t="n"/>
      <c r="E103" s="17" t="n"/>
      <c r="F103" s="17" t="n"/>
      <c r="G103" s="17" t="n"/>
      <c r="H103" s="17" t="n"/>
      <c r="I103" s="18" t="n"/>
      <c r="J103" s="21" t="n"/>
      <c r="K103" s="17" t="n"/>
    </row>
    <row r="104">
      <c r="A104" s="17" t="n"/>
      <c r="B104" s="21" t="n"/>
      <c r="C104" s="17" t="n"/>
      <c r="D104" s="17" t="n"/>
      <c r="E104" s="17" t="n"/>
      <c r="F104" s="17" t="n"/>
      <c r="G104" s="17" t="n"/>
      <c r="H104" s="17" t="n"/>
      <c r="I104" s="18" t="n"/>
      <c r="J104" s="21" t="n"/>
      <c r="K104" s="17" t="n"/>
    </row>
    <row r="105">
      <c r="A105" s="17" t="n"/>
      <c r="B105" s="21" t="n"/>
      <c r="C105" s="17" t="n"/>
      <c r="D105" s="17" t="n"/>
      <c r="E105" s="17" t="n"/>
      <c r="F105" s="17" t="n"/>
      <c r="G105" s="17" t="n"/>
      <c r="H105" s="17" t="n"/>
      <c r="I105" s="18" t="n"/>
      <c r="J105" s="21" t="n"/>
      <c r="K105" s="17" t="n"/>
    </row>
    <row r="106">
      <c r="A106" s="17" t="n"/>
      <c r="B106" s="21" t="n"/>
      <c r="C106" s="17" t="n"/>
      <c r="D106" s="17" t="n"/>
      <c r="E106" s="17" t="n"/>
      <c r="F106" s="17" t="n"/>
      <c r="G106" s="17" t="n"/>
      <c r="H106" s="17" t="n"/>
      <c r="I106" s="18" t="n"/>
      <c r="J106" s="21" t="n"/>
      <c r="K106" s="17" t="n"/>
    </row>
    <row r="107">
      <c r="A107" s="17" t="n"/>
      <c r="B107" s="21" t="n"/>
      <c r="C107" s="17" t="n"/>
      <c r="D107" s="17" t="n"/>
      <c r="E107" s="17" t="n"/>
      <c r="F107" s="17" t="n"/>
      <c r="G107" s="17" t="n"/>
      <c r="H107" s="17" t="n"/>
      <c r="I107" s="18" t="n"/>
      <c r="J107" s="21" t="n"/>
      <c r="K107" s="17" t="n"/>
    </row>
    <row r="108">
      <c r="A108" s="17" t="n"/>
      <c r="B108" s="21" t="n"/>
      <c r="C108" s="17" t="n"/>
      <c r="D108" s="17" t="n"/>
      <c r="E108" s="17" t="n"/>
      <c r="F108" s="17" t="n"/>
      <c r="G108" s="17" t="n"/>
      <c r="H108" s="17" t="n"/>
      <c r="I108" s="18" t="n"/>
      <c r="J108" s="21" t="n"/>
      <c r="K108" s="17" t="n"/>
    </row>
    <row r="109">
      <c r="A109" s="17" t="n"/>
      <c r="B109" s="21" t="n"/>
      <c r="C109" s="17" t="n"/>
      <c r="D109" s="17" t="n"/>
      <c r="E109" s="17" t="n"/>
      <c r="F109" s="17" t="n"/>
      <c r="G109" s="17" t="n"/>
      <c r="H109" s="17" t="n"/>
      <c r="I109" s="18" t="n"/>
      <c r="J109" s="21" t="n"/>
      <c r="K109" s="17" t="n"/>
    </row>
    <row r="110">
      <c r="A110" s="17" t="n"/>
      <c r="B110" s="21" t="n"/>
      <c r="C110" s="17" t="n"/>
      <c r="D110" s="17" t="n"/>
      <c r="E110" s="17" t="n"/>
      <c r="F110" s="17" t="n"/>
      <c r="G110" s="17" t="n"/>
      <c r="H110" s="17" t="n"/>
      <c r="I110" s="18" t="n"/>
      <c r="J110" s="21" t="n"/>
      <c r="K110" s="17" t="n"/>
    </row>
    <row r="111">
      <c r="A111" s="17" t="n"/>
      <c r="B111" s="21" t="n"/>
      <c r="C111" s="17" t="n"/>
      <c r="D111" s="17" t="n"/>
      <c r="E111" s="17" t="n"/>
      <c r="F111" s="17" t="n"/>
      <c r="G111" s="17" t="n"/>
      <c r="H111" s="17" t="n"/>
      <c r="I111" s="18" t="n"/>
      <c r="J111" s="21" t="n"/>
      <c r="K111" s="17" t="n"/>
    </row>
    <row r="112">
      <c r="A112" s="17" t="n"/>
      <c r="B112" s="21" t="n"/>
      <c r="C112" s="17" t="n"/>
      <c r="D112" s="17" t="n"/>
      <c r="E112" s="17" t="n"/>
      <c r="F112" s="17" t="n"/>
      <c r="G112" s="17" t="n"/>
      <c r="H112" s="17" t="n"/>
      <c r="I112" s="18" t="n"/>
      <c r="J112" s="21" t="n"/>
      <c r="K112" s="17" t="n"/>
    </row>
    <row r="113">
      <c r="A113" s="17" t="n"/>
      <c r="B113" s="21" t="n"/>
      <c r="C113" s="17" t="n"/>
      <c r="D113" s="17" t="n"/>
      <c r="E113" s="17" t="n"/>
      <c r="F113" s="17" t="n"/>
      <c r="G113" s="17" t="n"/>
      <c r="H113" s="17" t="n"/>
      <c r="I113" s="18" t="n"/>
      <c r="J113" s="21" t="n"/>
      <c r="K113" s="17" t="n"/>
    </row>
    <row r="114">
      <c r="A114" s="17" t="n"/>
      <c r="B114" s="21" t="n"/>
      <c r="C114" s="17" t="n"/>
      <c r="D114" s="17" t="n"/>
      <c r="E114" s="17" t="n"/>
      <c r="F114" s="17" t="n"/>
      <c r="G114" s="17" t="n"/>
      <c r="H114" s="17" t="n"/>
      <c r="I114" s="18" t="n"/>
      <c r="J114" s="21" t="n"/>
      <c r="K114" s="17" t="n"/>
    </row>
    <row r="115">
      <c r="A115" s="17" t="n"/>
      <c r="B115" s="21" t="n"/>
      <c r="C115" s="17" t="n"/>
      <c r="D115" s="17" t="n"/>
      <c r="E115" s="17" t="n"/>
      <c r="F115" s="17" t="n"/>
      <c r="G115" s="17" t="n"/>
      <c r="H115" s="17" t="n"/>
      <c r="I115" s="18" t="n"/>
      <c r="J115" s="21" t="n"/>
      <c r="K115" s="17" t="n"/>
    </row>
    <row r="116">
      <c r="A116" s="17" t="n"/>
      <c r="B116" s="21" t="n"/>
      <c r="C116" s="17" t="n"/>
      <c r="D116" s="17" t="n"/>
      <c r="E116" s="17" t="n"/>
      <c r="F116" s="17" t="n"/>
      <c r="G116" s="17" t="n"/>
      <c r="H116" s="17" t="n"/>
      <c r="I116" s="18" t="n"/>
      <c r="J116" s="21" t="n"/>
      <c r="K116" s="17" t="n"/>
    </row>
    <row r="117">
      <c r="A117" s="17" t="n"/>
      <c r="B117" s="21" t="n"/>
      <c r="C117" s="17" t="n"/>
      <c r="D117" s="17" t="n"/>
      <c r="E117" s="17" t="n"/>
      <c r="F117" s="17" t="n"/>
      <c r="G117" s="17" t="n"/>
      <c r="H117" s="17" t="n"/>
      <c r="I117" s="18" t="n"/>
      <c r="J117" s="21" t="n"/>
      <c r="K117" s="17" t="n"/>
    </row>
    <row r="118">
      <c r="A118" s="17" t="n"/>
      <c r="B118" s="21" t="n"/>
      <c r="C118" s="17" t="n"/>
      <c r="D118" s="17" t="n"/>
      <c r="E118" s="17" t="n"/>
      <c r="F118" s="17" t="n"/>
      <c r="G118" s="17" t="n"/>
      <c r="H118" s="17" t="n"/>
      <c r="I118" s="18" t="n"/>
      <c r="J118" s="21" t="n"/>
      <c r="K118" s="17" t="n"/>
    </row>
    <row r="119">
      <c r="A119" s="17" t="n"/>
      <c r="B119" s="21" t="n"/>
      <c r="C119" s="17" t="n"/>
      <c r="D119" s="17" t="n"/>
      <c r="E119" s="17" t="n"/>
      <c r="F119" s="17" t="n"/>
      <c r="G119" s="17" t="n"/>
      <c r="H119" s="17" t="n"/>
      <c r="I119" s="18" t="n"/>
      <c r="J119" s="21" t="n"/>
      <c r="K119" s="17" t="n"/>
    </row>
    <row r="120">
      <c r="A120" s="17" t="n"/>
      <c r="B120" s="21" t="n"/>
      <c r="C120" s="17" t="n"/>
      <c r="D120" s="17" t="n"/>
      <c r="E120" s="17" t="n"/>
      <c r="F120" s="17" t="n"/>
      <c r="G120" s="17" t="n"/>
      <c r="H120" s="17" t="n"/>
      <c r="I120" s="18" t="n"/>
      <c r="J120" s="21" t="n"/>
      <c r="K120" s="17" t="n"/>
    </row>
    <row r="121">
      <c r="A121" s="17" t="n"/>
      <c r="B121" s="21" t="n"/>
      <c r="C121" s="17" t="n"/>
      <c r="D121" s="17" t="n"/>
      <c r="E121" s="17" t="n"/>
      <c r="F121" s="17" t="n"/>
      <c r="G121" s="17" t="n"/>
      <c r="H121" s="17" t="n"/>
      <c r="I121" s="18" t="n"/>
      <c r="J121" s="21" t="n"/>
      <c r="K121" s="17" t="n"/>
    </row>
    <row r="122">
      <c r="A122" s="17" t="n"/>
      <c r="B122" s="21" t="n"/>
      <c r="C122" s="17" t="n"/>
      <c r="D122" s="17" t="n"/>
      <c r="E122" s="17" t="n"/>
      <c r="F122" s="17" t="n"/>
      <c r="G122" s="17" t="n"/>
      <c r="H122" s="17" t="n"/>
      <c r="I122" s="18" t="n"/>
      <c r="J122" s="21" t="n"/>
      <c r="K122" s="17" t="n"/>
    </row>
    <row r="123">
      <c r="A123" s="17" t="n"/>
      <c r="B123" s="21" t="n"/>
      <c r="C123" s="17" t="n"/>
      <c r="D123" s="17" t="n"/>
      <c r="E123" s="17" t="n"/>
      <c r="F123" s="17" t="n"/>
      <c r="G123" s="17" t="n"/>
      <c r="H123" s="17" t="n"/>
      <c r="I123" s="18" t="n"/>
      <c r="J123" s="21" t="n"/>
      <c r="K123" s="17" t="n"/>
    </row>
    <row r="124">
      <c r="A124" s="17" t="n"/>
      <c r="B124" s="21" t="n"/>
      <c r="C124" s="17" t="n"/>
      <c r="D124" s="17" t="n"/>
      <c r="E124" s="17" t="n"/>
      <c r="F124" s="17" t="n"/>
      <c r="G124" s="17" t="n"/>
      <c r="H124" s="17" t="n"/>
      <c r="I124" s="18" t="n"/>
      <c r="J124" s="21" t="n"/>
      <c r="K124" s="17" t="n"/>
    </row>
    <row r="125">
      <c r="A125" s="17" t="n"/>
      <c r="B125" s="21" t="n"/>
      <c r="C125" s="17" t="n"/>
      <c r="D125" s="17" t="n"/>
      <c r="E125" s="17" t="n"/>
      <c r="F125" s="17" t="n"/>
      <c r="G125" s="17" t="n"/>
      <c r="H125" s="17" t="n"/>
      <c r="I125" s="18" t="n"/>
      <c r="J125" s="21" t="n"/>
      <c r="K125" s="17" t="n"/>
    </row>
    <row r="126">
      <c r="A126" s="17" t="n"/>
      <c r="B126" s="21" t="n"/>
      <c r="C126" s="17" t="n"/>
      <c r="D126" s="17" t="n"/>
      <c r="E126" s="17" t="n"/>
      <c r="F126" s="17" t="n"/>
      <c r="G126" s="17" t="n"/>
      <c r="H126" s="17" t="n"/>
      <c r="I126" s="18" t="n"/>
      <c r="J126" s="21" t="n"/>
      <c r="K126" s="17" t="n"/>
    </row>
    <row r="127">
      <c r="A127" s="17" t="n"/>
      <c r="B127" s="21" t="n"/>
      <c r="C127" s="17" t="n"/>
      <c r="D127" s="17" t="n"/>
      <c r="E127" s="17" t="n"/>
      <c r="F127" s="17" t="n"/>
      <c r="G127" s="17" t="n"/>
      <c r="H127" s="17" t="n"/>
      <c r="I127" s="18" t="n"/>
      <c r="J127" s="21" t="n"/>
      <c r="K127" s="17" t="n"/>
    </row>
    <row r="128">
      <c r="A128" s="17" t="n"/>
      <c r="B128" s="21" t="n"/>
      <c r="C128" s="17" t="n"/>
      <c r="D128" s="17" t="n"/>
      <c r="E128" s="17" t="n"/>
      <c r="F128" s="17" t="n"/>
      <c r="G128" s="17" t="n"/>
      <c r="H128" s="17" t="n"/>
      <c r="I128" s="18" t="n"/>
      <c r="J128" s="21" t="n"/>
      <c r="K128" s="17" t="n"/>
    </row>
    <row r="129">
      <c r="A129" s="17" t="n"/>
      <c r="B129" s="21" t="n"/>
      <c r="C129" s="17" t="n"/>
      <c r="D129" s="17" t="n"/>
      <c r="E129" s="17" t="n"/>
      <c r="F129" s="17" t="n"/>
      <c r="G129" s="17" t="n"/>
      <c r="H129" s="17" t="n"/>
      <c r="I129" s="18" t="n"/>
      <c r="J129" s="21" t="n"/>
      <c r="K129" s="17" t="n"/>
    </row>
    <row r="130">
      <c r="A130" s="17" t="n"/>
      <c r="B130" s="21" t="n"/>
      <c r="C130" s="17" t="n"/>
      <c r="D130" s="17" t="n"/>
      <c r="E130" s="17" t="n"/>
      <c r="F130" s="17" t="n"/>
      <c r="G130" s="17" t="n"/>
      <c r="H130" s="17" t="n"/>
      <c r="I130" s="18" t="n"/>
      <c r="J130" s="21" t="n"/>
      <c r="K130" s="17" t="n"/>
    </row>
    <row r="131">
      <c r="A131" s="17" t="n"/>
      <c r="B131" s="21" t="n"/>
      <c r="C131" s="17" t="n"/>
      <c r="D131" s="17" t="n"/>
      <c r="E131" s="17" t="n"/>
      <c r="F131" s="17" t="n"/>
      <c r="G131" s="17" t="n"/>
      <c r="H131" s="17" t="n"/>
      <c r="I131" s="18" t="n"/>
      <c r="J131" s="21" t="n"/>
      <c r="K131" s="17" t="n"/>
    </row>
    <row r="132">
      <c r="A132" s="17" t="n"/>
      <c r="B132" s="21" t="n"/>
      <c r="C132" s="17" t="n"/>
      <c r="D132" s="17" t="n"/>
      <c r="E132" s="17" t="n"/>
      <c r="F132" s="17" t="n"/>
      <c r="G132" s="17" t="n"/>
      <c r="H132" s="17" t="n"/>
      <c r="I132" s="18" t="n"/>
      <c r="J132" s="21" t="n"/>
      <c r="K132" s="17" t="n"/>
    </row>
    <row r="133">
      <c r="A133" s="17" t="n"/>
      <c r="B133" s="21" t="n"/>
      <c r="C133" s="17" t="n"/>
      <c r="D133" s="17" t="n"/>
      <c r="E133" s="17" t="n"/>
      <c r="F133" s="17" t="n"/>
      <c r="G133" s="17" t="n"/>
      <c r="H133" s="17" t="n"/>
      <c r="I133" s="18" t="n"/>
      <c r="J133" s="21" t="n"/>
      <c r="K133" s="17" t="n"/>
    </row>
    <row r="134">
      <c r="A134" s="17" t="n"/>
      <c r="B134" s="21" t="n"/>
      <c r="C134" s="17" t="n"/>
      <c r="D134" s="17" t="n"/>
      <c r="E134" s="17" t="n"/>
      <c r="F134" s="17" t="n"/>
      <c r="G134" s="17" t="n"/>
      <c r="H134" s="17" t="n"/>
      <c r="I134" s="18" t="n"/>
      <c r="J134" s="21" t="n"/>
      <c r="K134" s="17" t="n"/>
    </row>
    <row r="135">
      <c r="A135" s="17" t="n"/>
      <c r="B135" s="21" t="n"/>
      <c r="C135" s="17" t="n"/>
      <c r="D135" s="17" t="n"/>
      <c r="E135" s="17" t="n"/>
      <c r="F135" s="17" t="n"/>
      <c r="G135" s="17" t="n"/>
      <c r="H135" s="17" t="n"/>
      <c r="I135" s="18" t="n"/>
      <c r="J135" s="21" t="n"/>
      <c r="K135" s="17" t="n"/>
    </row>
    <row r="136">
      <c r="A136" s="17" t="n"/>
      <c r="B136" s="21" t="n"/>
      <c r="C136" s="17" t="n"/>
      <c r="D136" s="17" t="n"/>
      <c r="E136" s="17" t="n"/>
      <c r="F136" s="17" t="n"/>
      <c r="G136" s="17" t="n"/>
      <c r="H136" s="17" t="n"/>
      <c r="I136" s="18" t="n"/>
      <c r="J136" s="21" t="n"/>
      <c r="K136" s="17" t="n"/>
    </row>
    <row r="137">
      <c r="A137" s="17" t="n"/>
      <c r="B137" s="21" t="n"/>
      <c r="C137" s="17" t="n"/>
      <c r="D137" s="17" t="n"/>
      <c r="E137" s="17" t="n"/>
      <c r="F137" s="17" t="n"/>
      <c r="G137" s="17" t="n"/>
      <c r="H137" s="17" t="n"/>
      <c r="I137" s="18" t="n"/>
      <c r="J137" s="21" t="n"/>
      <c r="K137" s="17" t="n"/>
    </row>
    <row r="138">
      <c r="A138" s="17" t="n"/>
      <c r="B138" s="21" t="n"/>
      <c r="C138" s="17" t="n"/>
      <c r="D138" s="17" t="n"/>
      <c r="E138" s="17" t="n"/>
      <c r="F138" s="17" t="n"/>
      <c r="G138" s="17" t="n"/>
      <c r="H138" s="17" t="n"/>
      <c r="I138" s="18" t="n"/>
      <c r="J138" s="21" t="n"/>
      <c r="K138" s="17" t="n"/>
    </row>
    <row r="139">
      <c r="A139" s="17" t="n"/>
      <c r="B139" s="21" t="n"/>
      <c r="C139" s="17" t="n"/>
      <c r="D139" s="17" t="n"/>
      <c r="E139" s="17" t="n"/>
      <c r="F139" s="17" t="n"/>
      <c r="G139" s="17" t="n"/>
      <c r="H139" s="17" t="n"/>
      <c r="I139" s="18" t="n"/>
      <c r="J139" s="21" t="n"/>
      <c r="K139" s="17" t="n"/>
    </row>
    <row r="140">
      <c r="A140" s="17" t="n"/>
      <c r="B140" s="21" t="n"/>
      <c r="C140" s="17" t="n"/>
      <c r="D140" s="17" t="n"/>
      <c r="E140" s="17" t="n"/>
      <c r="F140" s="17" t="n"/>
      <c r="G140" s="17" t="n"/>
      <c r="H140" s="17" t="n"/>
      <c r="I140" s="18" t="n"/>
      <c r="J140" s="21" t="n"/>
      <c r="K140" s="17" t="n"/>
    </row>
    <row r="141">
      <c r="A141" s="17" t="n"/>
      <c r="B141" s="21" t="n"/>
      <c r="C141" s="17" t="n"/>
      <c r="D141" s="17" t="n"/>
      <c r="E141" s="17" t="n"/>
      <c r="F141" s="17" t="n"/>
      <c r="G141" s="17" t="n"/>
      <c r="H141" s="17" t="n"/>
      <c r="I141" s="18" t="n"/>
      <c r="J141" s="21" t="n"/>
      <c r="K141" s="17" t="n"/>
    </row>
    <row r="142">
      <c r="A142" s="17" t="n"/>
      <c r="B142" s="21" t="n"/>
      <c r="C142" s="17" t="n"/>
      <c r="D142" s="17" t="n"/>
      <c r="E142" s="17" t="n"/>
      <c r="F142" s="17" t="n"/>
      <c r="G142" s="17" t="n"/>
      <c r="H142" s="17" t="n"/>
      <c r="I142" s="18" t="n"/>
      <c r="J142" s="21" t="n"/>
      <c r="K142" s="17" t="n"/>
    </row>
    <row r="143">
      <c r="A143" s="17" t="n"/>
      <c r="B143" s="21" t="n"/>
      <c r="C143" s="17" t="n"/>
      <c r="D143" s="17" t="n"/>
      <c r="E143" s="17" t="n"/>
      <c r="F143" s="17" t="n"/>
      <c r="G143" s="17" t="n"/>
      <c r="H143" s="17" t="n"/>
      <c r="I143" s="18" t="n"/>
      <c r="J143" s="21" t="n"/>
      <c r="K143" s="17" t="n"/>
    </row>
    <row r="144">
      <c r="A144" s="17" t="n"/>
      <c r="B144" s="21" t="n"/>
      <c r="C144" s="17" t="n"/>
      <c r="D144" s="17" t="n"/>
      <c r="E144" s="17" t="n"/>
      <c r="F144" s="17" t="n"/>
      <c r="G144" s="17" t="n"/>
      <c r="H144" s="17" t="n"/>
      <c r="I144" s="18" t="n"/>
      <c r="J144" s="21" t="n"/>
      <c r="K144" s="17" t="n"/>
    </row>
    <row r="145">
      <c r="A145" s="17" t="n"/>
      <c r="B145" s="21" t="n"/>
      <c r="C145" s="17" t="n"/>
      <c r="D145" s="17" t="n"/>
      <c r="E145" s="17" t="n"/>
      <c r="F145" s="17" t="n"/>
      <c r="G145" s="17" t="n"/>
      <c r="H145" s="17" t="n"/>
      <c r="I145" s="18" t="n"/>
      <c r="J145" s="21" t="n"/>
      <c r="K145" s="17" t="n"/>
    </row>
    <row r="146">
      <c r="A146" s="17" t="n"/>
      <c r="B146" s="21" t="n"/>
      <c r="C146" s="17" t="n"/>
      <c r="D146" s="17" t="n"/>
      <c r="E146" s="17" t="n"/>
      <c r="F146" s="17" t="n"/>
      <c r="G146" s="17" t="n"/>
      <c r="H146" s="17" t="n"/>
      <c r="I146" s="18" t="n"/>
      <c r="J146" s="21" t="n"/>
      <c r="K146" s="17" t="n"/>
    </row>
    <row r="147">
      <c r="A147" s="17" t="n"/>
      <c r="B147" s="21" t="n"/>
      <c r="C147" s="17" t="n"/>
      <c r="D147" s="17" t="n"/>
      <c r="E147" s="17" t="n"/>
      <c r="F147" s="17" t="n"/>
      <c r="G147" s="17" t="n"/>
      <c r="H147" s="17" t="n"/>
      <c r="I147" s="18" t="n"/>
      <c r="J147" s="21" t="n"/>
      <c r="K147" s="17" t="n"/>
    </row>
    <row r="148">
      <c r="A148" s="17" t="n"/>
      <c r="B148" s="21" t="n"/>
      <c r="C148" s="17" t="n"/>
      <c r="D148" s="17" t="n"/>
      <c r="E148" s="17" t="n"/>
      <c r="F148" s="17" t="n"/>
      <c r="G148" s="17" t="n"/>
      <c r="H148" s="17" t="n"/>
      <c r="I148" s="18" t="n"/>
      <c r="J148" s="21" t="n"/>
      <c r="K148" s="17" t="n"/>
    </row>
    <row r="149">
      <c r="A149" s="17" t="n"/>
      <c r="B149" s="21" t="n"/>
      <c r="C149" s="17" t="n"/>
      <c r="D149" s="17" t="n"/>
      <c r="E149" s="17" t="n"/>
      <c r="F149" s="17" t="n"/>
      <c r="G149" s="17" t="n"/>
      <c r="H149" s="17" t="n"/>
      <c r="I149" s="18" t="n"/>
      <c r="J149" s="21" t="n"/>
      <c r="K149" s="17" t="n"/>
    </row>
    <row r="150">
      <c r="A150" s="17" t="n"/>
      <c r="B150" s="21" t="n"/>
      <c r="C150" s="17" t="n"/>
      <c r="D150" s="17" t="n"/>
      <c r="E150" s="17" t="n"/>
      <c r="F150" s="17" t="n"/>
      <c r="G150" s="17" t="n"/>
      <c r="H150" s="17" t="n"/>
      <c r="I150" s="18" t="n"/>
      <c r="J150" s="21" t="n"/>
      <c r="K150" s="17" t="n"/>
    </row>
    <row r="151">
      <c r="A151" s="17" t="n"/>
      <c r="B151" s="21" t="n"/>
      <c r="C151" s="17" t="n"/>
      <c r="D151" s="17" t="n"/>
      <c r="E151" s="17" t="n"/>
      <c r="F151" s="17" t="n"/>
      <c r="G151" s="17" t="n"/>
      <c r="H151" s="17" t="n"/>
      <c r="I151" s="18" t="n"/>
      <c r="J151" s="21" t="n"/>
      <c r="K151" s="17" t="n"/>
    </row>
    <row r="152">
      <c r="A152" s="17" t="n"/>
      <c r="B152" s="21" t="n"/>
      <c r="C152" s="17" t="n"/>
      <c r="D152" s="17" t="n"/>
      <c r="E152" s="17" t="n"/>
      <c r="F152" s="17" t="n"/>
      <c r="G152" s="17" t="n"/>
      <c r="H152" s="17" t="n"/>
      <c r="I152" s="18" t="n"/>
      <c r="J152" s="21" t="n"/>
      <c r="K152" s="17" t="n"/>
    </row>
    <row r="153">
      <c r="A153" s="17" t="n"/>
      <c r="B153" s="21" t="n"/>
      <c r="C153" s="17" t="n"/>
      <c r="D153" s="17" t="n"/>
      <c r="E153" s="17" t="n"/>
      <c r="F153" s="17" t="n"/>
      <c r="G153" s="17" t="n"/>
      <c r="H153" s="17" t="n"/>
      <c r="I153" s="18" t="n"/>
      <c r="J153" s="21" t="n"/>
      <c r="K153" s="17" t="n"/>
    </row>
    <row r="154">
      <c r="A154" s="17" t="n"/>
      <c r="B154" s="21" t="n"/>
      <c r="C154" s="17" t="n"/>
      <c r="D154" s="17" t="n"/>
      <c r="E154" s="17" t="n"/>
      <c r="F154" s="17" t="n"/>
      <c r="G154" s="17" t="n"/>
      <c r="H154" s="17" t="n"/>
      <c r="I154" s="18" t="n"/>
      <c r="J154" s="21" t="n"/>
      <c r="K154" s="17" t="n"/>
    </row>
    <row r="155">
      <c r="A155" s="17" t="n"/>
      <c r="B155" s="21" t="n"/>
      <c r="C155" s="17" t="n"/>
      <c r="D155" s="17" t="n"/>
      <c r="E155" s="17" t="n"/>
      <c r="F155" s="17" t="n"/>
      <c r="G155" s="17" t="n"/>
      <c r="H155" s="17" t="n"/>
      <c r="I155" s="18" t="n"/>
      <c r="J155" s="21" t="n"/>
      <c r="K155" s="17" t="n"/>
    </row>
    <row r="156">
      <c r="A156" s="17" t="n"/>
      <c r="B156" s="21" t="n"/>
      <c r="C156" s="17" t="n"/>
      <c r="D156" s="17" t="n"/>
      <c r="E156" s="17" t="n"/>
      <c r="F156" s="17" t="n"/>
      <c r="G156" s="17" t="n"/>
      <c r="H156" s="17" t="n"/>
      <c r="I156" s="18" t="n"/>
      <c r="J156" s="21" t="n"/>
      <c r="K156" s="17" t="n"/>
    </row>
    <row r="157">
      <c r="A157" s="17" t="n"/>
      <c r="B157" s="21" t="n"/>
      <c r="C157" s="17" t="n"/>
      <c r="D157" s="17" t="n"/>
      <c r="E157" s="17" t="n"/>
      <c r="F157" s="17" t="n"/>
      <c r="G157" s="17" t="n"/>
      <c r="H157" s="17" t="n"/>
      <c r="I157" s="18" t="n"/>
      <c r="J157" s="21" t="n"/>
      <c r="K157" s="17" t="n"/>
    </row>
    <row r="158">
      <c r="A158" s="17" t="n"/>
      <c r="B158" s="21" t="n"/>
      <c r="C158" s="17" t="n"/>
      <c r="D158" s="17" t="n"/>
      <c r="E158" s="17" t="n"/>
      <c r="F158" s="17" t="n"/>
      <c r="G158" s="17" t="n"/>
      <c r="H158" s="17" t="n"/>
      <c r="I158" s="18" t="n"/>
      <c r="J158" s="21" t="n"/>
      <c r="K158" s="17" t="n"/>
    </row>
    <row r="159">
      <c r="A159" s="17" t="n"/>
      <c r="B159" s="21" t="n"/>
      <c r="C159" s="17" t="n"/>
      <c r="D159" s="17" t="n"/>
      <c r="E159" s="17" t="n"/>
      <c r="F159" s="17" t="n"/>
      <c r="G159" s="17" t="n"/>
      <c r="H159" s="17" t="n"/>
      <c r="I159" s="18" t="n"/>
      <c r="J159" s="21" t="n"/>
      <c r="K159" s="17" t="n"/>
    </row>
    <row r="160">
      <c r="A160" s="17" t="n"/>
      <c r="B160" s="21" t="n"/>
      <c r="C160" s="17" t="n"/>
      <c r="D160" s="17" t="n"/>
      <c r="E160" s="17" t="n"/>
      <c r="F160" s="17" t="n"/>
      <c r="G160" s="17" t="n"/>
      <c r="H160" s="17" t="n"/>
      <c r="I160" s="18" t="n"/>
      <c r="J160" s="21" t="n"/>
      <c r="K160" s="17" t="n"/>
    </row>
    <row r="161">
      <c r="A161" s="17" t="n"/>
      <c r="B161" s="21" t="n"/>
      <c r="C161" s="17" t="n"/>
      <c r="D161" s="17" t="n"/>
      <c r="E161" s="17" t="n"/>
      <c r="F161" s="17" t="n"/>
      <c r="G161" s="17" t="n"/>
      <c r="H161" s="17" t="n"/>
      <c r="I161" s="18" t="n"/>
      <c r="J161" s="21" t="n"/>
      <c r="K161" s="17" t="n"/>
    </row>
    <row r="162">
      <c r="A162" s="17" t="n"/>
      <c r="B162" s="21" t="n"/>
      <c r="C162" s="17" t="n"/>
      <c r="D162" s="17" t="n"/>
      <c r="E162" s="17" t="n"/>
      <c r="F162" s="17" t="n"/>
      <c r="G162" s="17" t="n"/>
      <c r="H162" s="17" t="n"/>
      <c r="I162" s="18" t="n"/>
      <c r="J162" s="21" t="n"/>
      <c r="K162" s="17" t="n"/>
    </row>
    <row r="163">
      <c r="A163" s="17" t="n"/>
      <c r="B163" s="21" t="n"/>
      <c r="C163" s="17" t="n"/>
      <c r="D163" s="17" t="n"/>
      <c r="E163" s="17" t="n"/>
      <c r="F163" s="17" t="n"/>
      <c r="G163" s="17" t="n"/>
      <c r="H163" s="17" t="n"/>
      <c r="I163" s="18" t="n"/>
      <c r="J163" s="21" t="n"/>
      <c r="K163" s="17" t="n"/>
    </row>
    <row r="164">
      <c r="A164" s="17" t="n"/>
      <c r="B164" s="21" t="n"/>
      <c r="C164" s="17" t="n"/>
      <c r="D164" s="17" t="n"/>
      <c r="E164" s="17" t="n"/>
      <c r="F164" s="17" t="n"/>
      <c r="G164" s="17" t="n"/>
      <c r="H164" s="17" t="n"/>
      <c r="I164" s="18" t="n"/>
      <c r="J164" s="21" t="n"/>
      <c r="K164" s="17" t="n"/>
    </row>
    <row r="165">
      <c r="A165" s="17" t="n"/>
      <c r="B165" s="21" t="n"/>
      <c r="C165" s="17" t="n"/>
      <c r="D165" s="17" t="n"/>
      <c r="E165" s="17" t="n"/>
      <c r="F165" s="17" t="n"/>
      <c r="G165" s="17" t="n"/>
      <c r="H165" s="17" t="n"/>
      <c r="I165" s="18" t="n"/>
      <c r="J165" s="21" t="n"/>
      <c r="K165" s="17" t="n"/>
    </row>
    <row r="166">
      <c r="A166" s="17" t="n"/>
      <c r="B166" s="21" t="n"/>
      <c r="C166" s="17" t="n"/>
      <c r="D166" s="17" t="n"/>
      <c r="E166" s="17" t="n"/>
      <c r="F166" s="17" t="n"/>
      <c r="G166" s="17" t="n"/>
      <c r="H166" s="17" t="n"/>
      <c r="I166" s="18" t="n"/>
      <c r="J166" s="21" t="n"/>
      <c r="K166" s="17" t="n"/>
    </row>
    <row r="167">
      <c r="A167" s="17" t="n"/>
      <c r="B167" s="21" t="n"/>
      <c r="C167" s="17" t="n"/>
      <c r="D167" s="17" t="n"/>
      <c r="E167" s="17" t="n"/>
      <c r="F167" s="17" t="n"/>
      <c r="G167" s="17" t="n"/>
      <c r="H167" s="17" t="n"/>
      <c r="I167" s="18" t="n"/>
      <c r="J167" s="21" t="n"/>
      <c r="K167" s="17" t="n"/>
    </row>
    <row r="168">
      <c r="A168" s="17" t="n"/>
      <c r="B168" s="21" t="n"/>
      <c r="C168" s="17" t="n"/>
      <c r="D168" s="17" t="n"/>
      <c r="E168" s="17" t="n"/>
      <c r="F168" s="17" t="n"/>
      <c r="G168" s="17" t="n"/>
      <c r="H168" s="17" t="n"/>
      <c r="I168" s="18" t="n"/>
      <c r="J168" s="21" t="n"/>
      <c r="K168" s="17" t="n"/>
    </row>
    <row r="169">
      <c r="A169" s="17" t="n"/>
      <c r="B169" s="21" t="n"/>
      <c r="C169" s="17" t="n"/>
      <c r="D169" s="17" t="n"/>
      <c r="E169" s="17" t="n"/>
      <c r="F169" s="17" t="n"/>
      <c r="G169" s="17" t="n"/>
      <c r="H169" s="17" t="n"/>
      <c r="I169" s="18" t="n"/>
      <c r="J169" s="21" t="n"/>
      <c r="K169" s="17" t="n"/>
    </row>
    <row r="170">
      <c r="A170" s="17" t="n"/>
      <c r="B170" s="21" t="n"/>
      <c r="C170" s="17" t="n"/>
      <c r="D170" s="17" t="n"/>
      <c r="E170" s="17" t="n"/>
      <c r="F170" s="17" t="n"/>
      <c r="G170" s="17" t="n"/>
      <c r="H170" s="17" t="n"/>
      <c r="I170" s="18" t="n"/>
      <c r="J170" s="21" t="n"/>
      <c r="K170" s="17" t="n"/>
    </row>
    <row r="171">
      <c r="A171" s="17" t="n"/>
      <c r="B171" s="21" t="n"/>
      <c r="C171" s="17" t="n"/>
      <c r="D171" s="17" t="n"/>
      <c r="E171" s="17" t="n"/>
      <c r="F171" s="17" t="n"/>
      <c r="G171" s="17" t="n"/>
      <c r="H171" s="17" t="n"/>
      <c r="I171" s="18" t="n"/>
      <c r="J171" s="21" t="n"/>
      <c r="K171" s="17" t="n"/>
    </row>
    <row r="172">
      <c r="A172" s="17" t="n"/>
      <c r="B172" s="21" t="n"/>
      <c r="C172" s="17" t="n"/>
      <c r="D172" s="17" t="n"/>
      <c r="E172" s="17" t="n"/>
      <c r="F172" s="17" t="n"/>
      <c r="G172" s="17" t="n"/>
      <c r="H172" s="17" t="n"/>
      <c r="I172" s="18" t="n"/>
      <c r="J172" s="21" t="n"/>
      <c r="K172" s="17" t="n"/>
    </row>
    <row r="173">
      <c r="A173" s="17" t="n"/>
      <c r="B173" s="21" t="n"/>
      <c r="C173" s="17" t="n"/>
      <c r="D173" s="17" t="n"/>
      <c r="E173" s="17" t="n"/>
      <c r="F173" s="17" t="n"/>
      <c r="G173" s="17" t="n"/>
      <c r="H173" s="17" t="n"/>
      <c r="I173" s="18" t="n"/>
      <c r="J173" s="21" t="n"/>
      <c r="K173" s="17" t="n"/>
    </row>
    <row r="174">
      <c r="A174" s="17" t="n"/>
      <c r="B174" s="21" t="n"/>
      <c r="C174" s="17" t="n"/>
      <c r="D174" s="17" t="n"/>
      <c r="E174" s="17" t="n"/>
      <c r="F174" s="17" t="n"/>
      <c r="G174" s="17" t="n"/>
      <c r="H174" s="17" t="n"/>
      <c r="I174" s="18" t="n"/>
      <c r="J174" s="21" t="n"/>
      <c r="K174" s="17" t="n"/>
    </row>
    <row r="175">
      <c r="A175" s="17" t="n"/>
      <c r="B175" s="21" t="n"/>
      <c r="C175" s="17" t="n"/>
      <c r="D175" s="17" t="n"/>
      <c r="E175" s="17" t="n"/>
      <c r="F175" s="17" t="n"/>
      <c r="G175" s="17" t="n"/>
      <c r="H175" s="17" t="n"/>
      <c r="I175" s="18" t="n"/>
      <c r="J175" s="21" t="n"/>
      <c r="K175" s="17" t="n"/>
    </row>
    <row r="176">
      <c r="A176" s="17" t="n"/>
      <c r="B176" s="21" t="n"/>
      <c r="C176" s="17" t="n"/>
      <c r="D176" s="17" t="n"/>
      <c r="E176" s="17" t="n"/>
      <c r="F176" s="17" t="n"/>
      <c r="G176" s="17" t="n"/>
      <c r="H176" s="17" t="n"/>
      <c r="I176" s="18" t="n"/>
      <c r="J176" s="21" t="n"/>
      <c r="K176" s="17" t="n"/>
    </row>
    <row r="177">
      <c r="A177" s="17" t="n"/>
      <c r="B177" s="21" t="n"/>
      <c r="C177" s="17" t="n"/>
      <c r="D177" s="17" t="n"/>
      <c r="E177" s="17" t="n"/>
      <c r="F177" s="17" t="n"/>
      <c r="G177" s="17" t="n"/>
      <c r="H177" s="17" t="n"/>
      <c r="I177" s="18" t="n"/>
      <c r="J177" s="21" t="n"/>
      <c r="K177" s="17" t="n"/>
    </row>
    <row r="178">
      <c r="A178" s="17" t="n"/>
      <c r="B178" s="21" t="n"/>
      <c r="C178" s="17" t="n"/>
      <c r="D178" s="17" t="n"/>
      <c r="E178" s="17" t="n"/>
      <c r="F178" s="17" t="n"/>
      <c r="G178" s="17" t="n"/>
      <c r="H178" s="17" t="n"/>
      <c r="I178" s="18" t="n"/>
      <c r="J178" s="21" t="n"/>
      <c r="K178" s="17" t="n"/>
    </row>
    <row r="179">
      <c r="A179" s="17" t="n"/>
      <c r="B179" s="21" t="n"/>
      <c r="C179" s="17" t="n"/>
      <c r="D179" s="17" t="n"/>
      <c r="E179" s="17" t="n"/>
      <c r="F179" s="17" t="n"/>
      <c r="G179" s="17" t="n"/>
      <c r="H179" s="17" t="n"/>
      <c r="I179" s="18" t="n"/>
      <c r="J179" s="21" t="n"/>
      <c r="K179" s="17" t="n"/>
    </row>
    <row r="180">
      <c r="A180" s="17" t="n"/>
      <c r="B180" s="21" t="n"/>
      <c r="C180" s="17" t="n"/>
      <c r="D180" s="17" t="n"/>
      <c r="E180" s="17" t="n"/>
      <c r="F180" s="17" t="n"/>
      <c r="G180" s="17" t="n"/>
      <c r="H180" s="17" t="n"/>
      <c r="I180" s="18" t="n"/>
      <c r="J180" s="21" t="n"/>
      <c r="K180" s="17" t="n"/>
    </row>
    <row r="181">
      <c r="A181" s="17" t="n"/>
      <c r="B181" s="21" t="n"/>
      <c r="C181" s="17" t="n"/>
      <c r="D181" s="17" t="n"/>
      <c r="E181" s="17" t="n"/>
      <c r="F181" s="17" t="n"/>
      <c r="G181" s="17" t="n"/>
      <c r="H181" s="17" t="n"/>
      <c r="I181" s="18" t="n"/>
      <c r="J181" s="21" t="n"/>
      <c r="K181" s="17" t="n"/>
    </row>
    <row r="182">
      <c r="A182" s="17" t="n"/>
      <c r="B182" s="21" t="n"/>
      <c r="C182" s="17" t="n"/>
      <c r="D182" s="17" t="n"/>
      <c r="E182" s="17" t="n"/>
      <c r="F182" s="17" t="n"/>
      <c r="G182" s="17" t="n"/>
      <c r="H182" s="17" t="n"/>
      <c r="I182" s="18" t="n"/>
      <c r="J182" s="21" t="n"/>
      <c r="K182" s="17" t="n"/>
    </row>
    <row r="183">
      <c r="A183" s="17" t="n"/>
      <c r="B183" s="21" t="n"/>
      <c r="C183" s="17" t="n"/>
      <c r="D183" s="17" t="n"/>
      <c r="E183" s="17" t="n"/>
      <c r="F183" s="17" t="n"/>
      <c r="G183" s="17" t="n"/>
      <c r="H183" s="17" t="n"/>
      <c r="I183" s="18" t="n"/>
      <c r="J183" s="21" t="n"/>
      <c r="K183" s="17" t="n"/>
    </row>
    <row r="184">
      <c r="A184" s="17" t="n"/>
      <c r="B184" s="21" t="n"/>
      <c r="C184" s="17" t="n"/>
      <c r="D184" s="17" t="n"/>
      <c r="E184" s="17" t="n"/>
      <c r="F184" s="17" t="n"/>
      <c r="G184" s="17" t="n"/>
      <c r="H184" s="17" t="n"/>
      <c r="I184" s="18" t="n"/>
      <c r="J184" s="21" t="n"/>
      <c r="K184" s="17" t="n"/>
    </row>
    <row r="185">
      <c r="A185" s="17" t="n"/>
      <c r="B185" s="21" t="n"/>
      <c r="C185" s="17" t="n"/>
      <c r="D185" s="17" t="n"/>
      <c r="E185" s="17" t="n"/>
      <c r="F185" s="17" t="n"/>
      <c r="G185" s="17" t="n"/>
      <c r="H185" s="17" t="n"/>
      <c r="I185" s="18" t="n"/>
      <c r="J185" s="21" t="n"/>
      <c r="K185" s="17" t="n"/>
    </row>
    <row r="186">
      <c r="A186" s="17" t="n"/>
      <c r="B186" s="21" t="n"/>
      <c r="C186" s="17" t="n"/>
      <c r="D186" s="17" t="n"/>
      <c r="E186" s="17" t="n"/>
      <c r="F186" s="17" t="n"/>
      <c r="G186" s="17" t="n"/>
      <c r="H186" s="17" t="n"/>
      <c r="I186" s="18" t="n"/>
      <c r="J186" s="21" t="n"/>
      <c r="K186" s="17" t="n"/>
    </row>
    <row r="187">
      <c r="A187" s="17" t="n"/>
      <c r="B187" s="21" t="n"/>
      <c r="C187" s="17" t="n"/>
      <c r="D187" s="17" t="n"/>
      <c r="E187" s="17" t="n"/>
      <c r="F187" s="17" t="n"/>
      <c r="G187" s="17" t="n"/>
      <c r="H187" s="17" t="n"/>
      <c r="I187" s="18" t="n"/>
      <c r="J187" s="21" t="n"/>
      <c r="K187" s="17" t="n"/>
    </row>
    <row r="188">
      <c r="A188" s="17" t="n"/>
      <c r="B188" s="21" t="n"/>
      <c r="C188" s="17" t="n"/>
      <c r="D188" s="17" t="n"/>
      <c r="E188" s="17" t="n"/>
      <c r="F188" s="17" t="n"/>
      <c r="G188" s="17" t="n"/>
      <c r="H188" s="17" t="n"/>
      <c r="I188" s="18" t="n"/>
      <c r="J188" s="21" t="n"/>
      <c r="K188" s="17" t="n"/>
    </row>
    <row r="189">
      <c r="A189" s="17" t="n"/>
      <c r="B189" s="21" t="n"/>
      <c r="C189" s="17" t="n"/>
      <c r="D189" s="17" t="n"/>
      <c r="E189" s="17" t="n"/>
      <c r="F189" s="17" t="n"/>
      <c r="G189" s="17" t="n"/>
      <c r="H189" s="17" t="n"/>
      <c r="I189" s="18" t="n"/>
      <c r="J189" s="21" t="n"/>
      <c r="K189" s="17" t="n"/>
    </row>
    <row r="190">
      <c r="A190" s="17" t="n"/>
      <c r="B190" s="21" t="n"/>
      <c r="C190" s="17" t="n"/>
      <c r="D190" s="17" t="n"/>
      <c r="E190" s="17" t="n"/>
      <c r="F190" s="17" t="n"/>
      <c r="G190" s="17" t="n"/>
      <c r="H190" s="17" t="n"/>
      <c r="I190" s="18" t="n"/>
      <c r="J190" s="21" t="n"/>
      <c r="K190" s="17" t="n"/>
    </row>
    <row r="191">
      <c r="A191" s="17" t="n"/>
      <c r="B191" s="21" t="n"/>
      <c r="C191" s="17" t="n"/>
      <c r="D191" s="17" t="n"/>
      <c r="E191" s="17" t="n"/>
      <c r="F191" s="17" t="n"/>
      <c r="G191" s="17" t="n"/>
      <c r="H191" s="17" t="n"/>
      <c r="I191" s="18" t="n"/>
      <c r="J191" s="21" t="n"/>
      <c r="K191" s="17" t="n"/>
    </row>
    <row r="192">
      <c r="A192" s="17" t="n"/>
      <c r="B192" s="21" t="n"/>
      <c r="C192" s="17" t="n"/>
      <c r="D192" s="17" t="n"/>
      <c r="E192" s="17" t="n"/>
      <c r="F192" s="17" t="n"/>
      <c r="G192" s="17" t="n"/>
      <c r="H192" s="17" t="n"/>
      <c r="I192" s="18" t="n"/>
      <c r="J192" s="21" t="n"/>
      <c r="K192" s="17" t="n"/>
    </row>
    <row r="193">
      <c r="A193" s="17" t="n"/>
      <c r="B193" s="21" t="n"/>
      <c r="C193" s="17" t="n"/>
      <c r="D193" s="17" t="n"/>
      <c r="E193" s="17" t="n"/>
      <c r="F193" s="17" t="n"/>
      <c r="G193" s="17" t="n"/>
      <c r="H193" s="17" t="n"/>
      <c r="I193" s="18" t="n"/>
      <c r="J193" s="21" t="n"/>
      <c r="K193" s="17" t="n"/>
    </row>
    <row r="194">
      <c r="A194" s="17" t="n"/>
      <c r="B194" s="21" t="n"/>
      <c r="C194" s="17" t="n"/>
      <c r="D194" s="17" t="n"/>
      <c r="E194" s="17" t="n"/>
      <c r="F194" s="17" t="n"/>
      <c r="G194" s="17" t="n"/>
      <c r="H194" s="17" t="n"/>
      <c r="I194" s="18" t="n"/>
      <c r="J194" s="21" t="n"/>
      <c r="K194" s="17" t="n"/>
    </row>
    <row r="195">
      <c r="A195" s="17" t="n"/>
      <c r="B195" s="21" t="n"/>
      <c r="C195" s="17" t="n"/>
      <c r="D195" s="17" t="n"/>
      <c r="E195" s="17" t="n"/>
      <c r="F195" s="17" t="n"/>
      <c r="G195" s="17" t="n"/>
      <c r="H195" s="17" t="n"/>
      <c r="I195" s="18" t="n"/>
      <c r="J195" s="21" t="n"/>
      <c r="K195" s="17" t="n"/>
    </row>
    <row r="196">
      <c r="A196" s="17" t="n"/>
      <c r="B196" s="21" t="n"/>
      <c r="C196" s="17" t="n"/>
      <c r="D196" s="17" t="n"/>
      <c r="E196" s="17" t="n"/>
      <c r="F196" s="17" t="n"/>
      <c r="G196" s="17" t="n"/>
      <c r="H196" s="17" t="n"/>
      <c r="I196" s="18" t="n"/>
      <c r="J196" s="21" t="n"/>
      <c r="K196" s="17" t="n"/>
    </row>
    <row r="197">
      <c r="A197" s="17" t="n"/>
      <c r="B197" s="21" t="n"/>
      <c r="C197" s="17" t="n"/>
      <c r="D197" s="17" t="n"/>
      <c r="E197" s="17" t="n"/>
      <c r="F197" s="17" t="n"/>
      <c r="G197" s="17" t="n"/>
      <c r="H197" s="17" t="n"/>
      <c r="I197" s="18" t="n"/>
      <c r="J197" s="21" t="n"/>
      <c r="K197" s="17" t="n"/>
    </row>
    <row r="198">
      <c r="A198" s="17" t="n"/>
      <c r="B198" s="21" t="n"/>
      <c r="C198" s="17" t="n"/>
      <c r="D198" s="17" t="n"/>
      <c r="E198" s="17" t="n"/>
      <c r="F198" s="17" t="n"/>
      <c r="G198" s="17" t="n"/>
      <c r="H198" s="17" t="n"/>
      <c r="I198" s="18" t="n"/>
      <c r="J198" s="21" t="n"/>
      <c r="K198" s="17" t="n"/>
    </row>
    <row r="199">
      <c r="A199" s="17" t="n"/>
      <c r="B199" s="21" t="n"/>
      <c r="C199" s="17" t="n"/>
      <c r="D199" s="17" t="n"/>
      <c r="E199" s="17" t="n"/>
      <c r="F199" s="17" t="n"/>
      <c r="G199" s="17" t="n"/>
      <c r="H199" s="17" t="n"/>
      <c r="I199" s="18" t="n"/>
      <c r="J199" s="21" t="n"/>
      <c r="K199" s="17" t="n"/>
    </row>
    <row r="200">
      <c r="A200" s="17" t="n"/>
      <c r="B200" s="21" t="n"/>
      <c r="C200" s="17" t="n"/>
      <c r="D200" s="17" t="n"/>
      <c r="E200" s="17" t="n"/>
      <c r="F200" s="17" t="n"/>
      <c r="G200" s="17" t="n"/>
      <c r="H200" s="17" t="n"/>
      <c r="I200" s="18" t="n"/>
      <c r="J200" s="21" t="n"/>
      <c r="K200" s="17" t="n"/>
    </row>
    <row r="201">
      <c r="A201" s="17" t="n"/>
      <c r="B201" s="21" t="n"/>
      <c r="C201" s="17" t="n"/>
      <c r="D201" s="17" t="n"/>
      <c r="E201" s="17" t="n"/>
      <c r="F201" s="17" t="n"/>
      <c r="G201" s="17" t="n"/>
      <c r="H201" s="17" t="n"/>
      <c r="I201" s="18" t="n"/>
      <c r="J201" s="21" t="n"/>
      <c r="K201" s="17" t="n"/>
    </row>
    <row r="202">
      <c r="A202" s="17" t="n"/>
      <c r="B202" s="21" t="n"/>
      <c r="C202" s="17" t="n"/>
      <c r="D202" s="17" t="n"/>
      <c r="E202" s="17" t="n"/>
      <c r="F202" s="17" t="n"/>
      <c r="G202" s="17" t="n"/>
      <c r="H202" s="17" t="n"/>
      <c r="I202" s="18" t="n"/>
      <c r="J202" s="21" t="n"/>
      <c r="K202" s="17" t="n"/>
    </row>
    <row r="203">
      <c r="A203" s="17" t="n"/>
      <c r="B203" s="21" t="n"/>
      <c r="C203" s="17" t="n"/>
      <c r="D203" s="17" t="n"/>
      <c r="E203" s="17" t="n"/>
      <c r="F203" s="17" t="n"/>
      <c r="G203" s="17" t="n"/>
      <c r="H203" s="17" t="n"/>
      <c r="I203" s="18" t="n"/>
      <c r="J203" s="21" t="n"/>
      <c r="K203" s="17" t="n"/>
    </row>
    <row r="204">
      <c r="A204" s="17" t="n"/>
      <c r="B204" s="21" t="n"/>
      <c r="C204" s="17" t="n"/>
      <c r="D204" s="17" t="n"/>
      <c r="E204" s="17" t="n"/>
      <c r="F204" s="17" t="n"/>
      <c r="G204" s="17" t="n"/>
      <c r="H204" s="17" t="n"/>
      <c r="I204" s="18" t="n"/>
      <c r="J204" s="21" t="n"/>
      <c r="K204" s="17" t="n"/>
    </row>
    <row r="205">
      <c r="A205" s="17" t="n"/>
      <c r="B205" s="21" t="n"/>
      <c r="C205" s="17" t="n"/>
      <c r="D205" s="17" t="n"/>
      <c r="E205" s="17" t="n"/>
      <c r="F205" s="17" t="n"/>
      <c r="G205" s="17" t="n"/>
      <c r="H205" s="17" t="n"/>
      <c r="I205" s="18" t="n"/>
      <c r="J205" s="21" t="n"/>
      <c r="K205" s="17" t="n"/>
    </row>
    <row r="206">
      <c r="A206" s="17" t="n"/>
      <c r="B206" s="21" t="n"/>
      <c r="C206" s="17" t="n"/>
      <c r="D206" s="17" t="n"/>
      <c r="E206" s="17" t="n"/>
      <c r="F206" s="17" t="n"/>
      <c r="G206" s="17" t="n"/>
      <c r="H206" s="17" t="n"/>
      <c r="I206" s="18" t="n"/>
      <c r="J206" s="21" t="n"/>
      <c r="K206" s="17" t="n"/>
    </row>
    <row r="207">
      <c r="A207" s="17" t="n"/>
      <c r="B207" s="21" t="n"/>
      <c r="C207" s="17" t="n"/>
      <c r="D207" s="17" t="n"/>
      <c r="E207" s="17" t="n"/>
      <c r="F207" s="17" t="n"/>
      <c r="G207" s="17" t="n"/>
      <c r="H207" s="17" t="n"/>
      <c r="I207" s="18" t="n"/>
      <c r="J207" s="21" t="n"/>
      <c r="K207" s="17" t="n"/>
    </row>
    <row r="208">
      <c r="A208" s="17" t="n"/>
      <c r="B208" s="21" t="n"/>
      <c r="C208" s="17" t="n"/>
      <c r="D208" s="17" t="n"/>
      <c r="E208" s="17" t="n"/>
      <c r="F208" s="17" t="n"/>
      <c r="G208" s="17" t="n"/>
      <c r="H208" s="17" t="n"/>
      <c r="I208" s="18" t="n"/>
      <c r="J208" s="21" t="n"/>
      <c r="K208" s="17" t="n"/>
    </row>
    <row r="209">
      <c r="A209" s="17" t="n"/>
      <c r="B209" s="21" t="n"/>
      <c r="C209" s="17" t="n"/>
      <c r="D209" s="17" t="n"/>
      <c r="E209" s="17" t="n"/>
      <c r="F209" s="17" t="n"/>
      <c r="G209" s="17" t="n"/>
      <c r="H209" s="17" t="n"/>
      <c r="I209" s="18" t="n"/>
      <c r="J209" s="21" t="n"/>
      <c r="K209" s="17" t="n"/>
    </row>
    <row r="210">
      <c r="A210" s="17" t="n"/>
      <c r="B210" s="21" t="n"/>
      <c r="C210" s="17" t="n"/>
      <c r="D210" s="17" t="n"/>
      <c r="E210" s="17" t="n"/>
      <c r="F210" s="17" t="n"/>
      <c r="G210" s="17" t="n"/>
      <c r="H210" s="17" t="n"/>
      <c r="I210" s="18" t="n"/>
      <c r="J210" s="21" t="n"/>
      <c r="K210" s="17" t="n"/>
    </row>
    <row r="211">
      <c r="A211" s="17" t="n"/>
      <c r="B211" s="21" t="n"/>
      <c r="C211" s="17" t="n"/>
      <c r="D211" s="17" t="n"/>
      <c r="E211" s="17" t="n"/>
      <c r="F211" s="17" t="n"/>
      <c r="G211" s="17" t="n"/>
      <c r="H211" s="17" t="n"/>
      <c r="I211" s="18" t="n"/>
      <c r="J211" s="21" t="n"/>
      <c r="K211" s="17" t="n"/>
    </row>
    <row r="212">
      <c r="A212" s="17" t="n"/>
      <c r="B212" s="21" t="n"/>
      <c r="C212" s="17" t="n"/>
      <c r="D212" s="17" t="n"/>
      <c r="E212" s="17" t="n"/>
      <c r="F212" s="17" t="n"/>
      <c r="G212" s="17" t="n"/>
      <c r="H212" s="17" t="n"/>
      <c r="I212" s="18" t="n"/>
      <c r="J212" s="21" t="n"/>
      <c r="K212" s="17" t="n"/>
    </row>
    <row r="213">
      <c r="A213" s="17" t="n"/>
      <c r="B213" s="21" t="n"/>
      <c r="C213" s="17" t="n"/>
      <c r="D213" s="17" t="n"/>
      <c r="E213" s="17" t="n"/>
      <c r="F213" s="17" t="n"/>
      <c r="G213" s="17" t="n"/>
      <c r="H213" s="17" t="n"/>
      <c r="I213" s="18" t="n"/>
      <c r="J213" s="21" t="n"/>
      <c r="K213" s="17" t="n"/>
    </row>
    <row r="214">
      <c r="A214" s="17" t="n"/>
      <c r="B214" s="21" t="n"/>
      <c r="C214" s="17" t="n"/>
      <c r="D214" s="17" t="n"/>
      <c r="E214" s="17" t="n"/>
      <c r="F214" s="17" t="n"/>
      <c r="G214" s="17" t="n"/>
      <c r="H214" s="17" t="n"/>
      <c r="I214" s="18" t="n"/>
      <c r="J214" s="21" t="n"/>
      <c r="K214" s="17" t="n"/>
    </row>
    <row r="215">
      <c r="A215" s="17" t="n"/>
      <c r="B215" s="21" t="n"/>
      <c r="C215" s="17" t="n"/>
      <c r="D215" s="17" t="n"/>
      <c r="E215" s="17" t="n"/>
      <c r="F215" s="17" t="n"/>
      <c r="G215" s="17" t="n"/>
      <c r="H215" s="17" t="n"/>
      <c r="I215" s="18" t="n"/>
      <c r="J215" s="21" t="n"/>
      <c r="K215" s="17" t="n"/>
    </row>
    <row r="216">
      <c r="A216" s="17" t="n"/>
      <c r="B216" s="21" t="n"/>
      <c r="C216" s="17" t="n"/>
      <c r="D216" s="17" t="n"/>
      <c r="E216" s="17" t="n"/>
      <c r="F216" s="17" t="n"/>
      <c r="G216" s="17" t="n"/>
      <c r="H216" s="17" t="n"/>
      <c r="I216" s="18" t="n"/>
      <c r="J216" s="21" t="n"/>
      <c r="K216" s="17" t="n"/>
    </row>
    <row r="217">
      <c r="A217" s="17" t="n"/>
      <c r="B217" s="21" t="n"/>
      <c r="C217" s="17" t="n"/>
      <c r="D217" s="17" t="n"/>
      <c r="E217" s="17" t="n"/>
      <c r="F217" s="17" t="n"/>
      <c r="G217" s="17" t="n"/>
      <c r="H217" s="17" t="n"/>
      <c r="I217" s="18" t="n"/>
      <c r="J217" s="21" t="n"/>
      <c r="K217" s="17" t="n"/>
    </row>
    <row r="218">
      <c r="A218" s="17" t="n"/>
      <c r="B218" s="21" t="n"/>
      <c r="C218" s="17" t="n"/>
      <c r="D218" s="17" t="n"/>
      <c r="E218" s="17" t="n"/>
      <c r="F218" s="17" t="n"/>
      <c r="G218" s="17" t="n"/>
      <c r="H218" s="17" t="n"/>
      <c r="I218" s="18" t="n"/>
      <c r="J218" s="21" t="n"/>
      <c r="K218" s="17" t="n"/>
    </row>
    <row r="219">
      <c r="A219" s="17" t="n"/>
      <c r="B219" s="21" t="n"/>
      <c r="C219" s="17" t="n"/>
      <c r="D219" s="17" t="n"/>
      <c r="E219" s="17" t="n"/>
      <c r="F219" s="17" t="n"/>
      <c r="G219" s="17" t="n"/>
      <c r="H219" s="17" t="n"/>
      <c r="I219" s="18" t="n"/>
      <c r="J219" s="21" t="n"/>
      <c r="K219" s="17" t="n"/>
    </row>
    <row r="220">
      <c r="A220" s="17" t="n"/>
      <c r="B220" s="21" t="n"/>
      <c r="C220" s="17" t="n"/>
      <c r="D220" s="17" t="n"/>
      <c r="E220" s="17" t="n"/>
      <c r="F220" s="17" t="n"/>
      <c r="G220" s="17" t="n"/>
      <c r="H220" s="17" t="n"/>
      <c r="I220" s="18" t="n"/>
      <c r="J220" s="21" t="n"/>
      <c r="K220" s="17" t="n"/>
    </row>
    <row r="221">
      <c r="A221" s="17" t="n"/>
      <c r="B221" s="21" t="n"/>
      <c r="C221" s="17" t="n"/>
      <c r="D221" s="17" t="n"/>
      <c r="E221" s="17" t="n"/>
      <c r="F221" s="17" t="n"/>
      <c r="G221" s="17" t="n"/>
      <c r="H221" s="17" t="n"/>
      <c r="I221" s="18" t="n"/>
      <c r="J221" s="21" t="n"/>
      <c r="K221" s="17" t="n"/>
    </row>
    <row r="222">
      <c r="A222" s="17" t="n"/>
      <c r="B222" s="21" t="n"/>
      <c r="C222" s="17" t="n"/>
      <c r="D222" s="17" t="n"/>
      <c r="E222" s="17" t="n"/>
      <c r="F222" s="17" t="n"/>
      <c r="G222" s="17" t="n"/>
      <c r="H222" s="17" t="n"/>
      <c r="I222" s="18" t="n"/>
      <c r="J222" s="21" t="n"/>
      <c r="K222" s="17" t="n"/>
    </row>
    <row r="223">
      <c r="A223" s="17" t="n"/>
      <c r="B223" s="21" t="n"/>
      <c r="C223" s="17" t="n"/>
      <c r="D223" s="17" t="n"/>
      <c r="E223" s="17" t="n"/>
      <c r="F223" s="17" t="n"/>
      <c r="G223" s="17" t="n"/>
      <c r="H223" s="17" t="n"/>
      <c r="I223" s="18" t="n"/>
      <c r="J223" s="21" t="n"/>
      <c r="K223" s="17" t="n"/>
    </row>
    <row r="224">
      <c r="A224" s="17" t="n"/>
      <c r="B224" s="21" t="n"/>
      <c r="C224" s="17" t="n"/>
      <c r="D224" s="17" t="n"/>
      <c r="E224" s="17" t="n"/>
      <c r="F224" s="17" t="n"/>
      <c r="G224" s="17" t="n"/>
      <c r="H224" s="17" t="n"/>
      <c r="I224" s="18" t="n"/>
      <c r="J224" s="21" t="n"/>
      <c r="K224" s="17" t="n"/>
    </row>
    <row r="225">
      <c r="A225" s="17" t="n"/>
      <c r="B225" s="21" t="n"/>
      <c r="C225" s="17" t="n"/>
      <c r="D225" s="17" t="n"/>
      <c r="E225" s="17" t="n"/>
      <c r="F225" s="17" t="n"/>
      <c r="G225" s="17" t="n"/>
      <c r="H225" s="17" t="n"/>
      <c r="I225" s="18" t="n"/>
      <c r="J225" s="21" t="n"/>
      <c r="K225" s="17" t="n"/>
    </row>
    <row r="226">
      <c r="A226" s="17" t="n"/>
      <c r="B226" s="21" t="n"/>
      <c r="C226" s="17" t="n"/>
      <c r="D226" s="17" t="n"/>
      <c r="E226" s="17" t="n"/>
      <c r="F226" s="17" t="n"/>
      <c r="G226" s="17" t="n"/>
      <c r="H226" s="17" t="n"/>
      <c r="I226" s="18" t="n"/>
      <c r="J226" s="21" t="n"/>
      <c r="K226" s="17" t="n"/>
    </row>
    <row r="227">
      <c r="A227" s="17" t="n"/>
      <c r="B227" s="21" t="n"/>
      <c r="C227" s="17" t="n"/>
      <c r="D227" s="17" t="n"/>
      <c r="E227" s="17" t="n"/>
      <c r="F227" s="17" t="n"/>
      <c r="G227" s="17" t="n"/>
      <c r="H227" s="17" t="n"/>
      <c r="I227" s="18" t="n"/>
      <c r="J227" s="21" t="n"/>
      <c r="K227" s="17" t="n"/>
    </row>
    <row r="228">
      <c r="A228" s="17" t="n"/>
      <c r="B228" s="21" t="n"/>
      <c r="C228" s="17" t="n"/>
      <c r="D228" s="17" t="n"/>
      <c r="E228" s="17" t="n"/>
      <c r="F228" s="17" t="n"/>
      <c r="G228" s="17" t="n"/>
      <c r="H228" s="17" t="n"/>
      <c r="I228" s="18" t="n"/>
      <c r="J228" s="21" t="n"/>
      <c r="K228" s="17" t="n"/>
    </row>
    <row r="229">
      <c r="A229" s="17" t="n"/>
      <c r="B229" s="21" t="n"/>
      <c r="C229" s="17" t="n"/>
      <c r="D229" s="17" t="n"/>
      <c r="E229" s="17" t="n"/>
      <c r="F229" s="17" t="n"/>
      <c r="G229" s="17" t="n"/>
      <c r="H229" s="17" t="n"/>
      <c r="I229" s="18" t="n"/>
      <c r="J229" s="21" t="n"/>
      <c r="K229" s="17" t="n"/>
    </row>
    <row r="230">
      <c r="A230" s="17" t="n"/>
      <c r="B230" s="21" t="n"/>
      <c r="C230" s="17" t="n"/>
      <c r="D230" s="17" t="n"/>
      <c r="E230" s="17" t="n"/>
      <c r="F230" s="17" t="n"/>
      <c r="G230" s="17" t="n"/>
      <c r="H230" s="17" t="n"/>
      <c r="I230" s="18" t="n"/>
      <c r="J230" s="21" t="n"/>
      <c r="K230" s="17" t="n"/>
    </row>
    <row r="231">
      <c r="A231" s="17" t="n"/>
      <c r="B231" s="21" t="n"/>
      <c r="C231" s="17" t="n"/>
      <c r="D231" s="17" t="n"/>
      <c r="E231" s="17" t="n"/>
      <c r="F231" s="17" t="n"/>
      <c r="G231" s="17" t="n"/>
      <c r="H231" s="17" t="n"/>
      <c r="I231" s="18" t="n"/>
      <c r="J231" s="21" t="n"/>
      <c r="K231" s="17" t="n"/>
    </row>
    <row r="232">
      <c r="A232" s="17" t="n"/>
      <c r="B232" s="21" t="n"/>
      <c r="C232" s="17" t="n"/>
      <c r="D232" s="17" t="n"/>
      <c r="E232" s="17" t="n"/>
      <c r="F232" s="17" t="n"/>
      <c r="G232" s="17" t="n"/>
      <c r="H232" s="17" t="n"/>
      <c r="I232" s="18" t="n"/>
      <c r="J232" s="21" t="n"/>
      <c r="K232" s="17" t="n"/>
    </row>
    <row r="233">
      <c r="A233" s="17" t="n"/>
      <c r="B233" s="21" t="n"/>
      <c r="C233" s="17" t="n"/>
      <c r="D233" s="17" t="n"/>
      <c r="E233" s="17" t="n"/>
      <c r="F233" s="17" t="n"/>
      <c r="G233" s="17" t="n"/>
      <c r="H233" s="17" t="n"/>
      <c r="I233" s="18" t="n"/>
      <c r="J233" s="21" t="n"/>
      <c r="K233" s="17" t="n"/>
    </row>
    <row r="234">
      <c r="A234" s="17" t="n"/>
      <c r="B234" s="21" t="n"/>
      <c r="C234" s="17" t="n"/>
      <c r="D234" s="17" t="n"/>
      <c r="E234" s="17" t="n"/>
      <c r="F234" s="17" t="n"/>
      <c r="G234" s="17" t="n"/>
      <c r="H234" s="17" t="n"/>
      <c r="I234" s="18" t="n"/>
      <c r="J234" s="21" t="n"/>
      <c r="K234" s="17" t="n"/>
    </row>
    <row r="235">
      <c r="A235" s="17" t="n"/>
      <c r="B235" s="21" t="n"/>
      <c r="C235" s="17" t="n"/>
      <c r="D235" s="17" t="n"/>
      <c r="E235" s="17" t="n"/>
      <c r="F235" s="17" t="n"/>
      <c r="G235" s="17" t="n"/>
      <c r="H235" s="17" t="n"/>
      <c r="I235" s="18" t="n"/>
      <c r="J235" s="21" t="n"/>
      <c r="K235" s="17" t="n"/>
    </row>
    <row r="236">
      <c r="A236" s="17" t="n"/>
      <c r="B236" s="21" t="n"/>
      <c r="C236" s="17" t="n"/>
      <c r="D236" s="17" t="n"/>
      <c r="E236" s="17" t="n"/>
      <c r="F236" s="17" t="n"/>
      <c r="G236" s="17" t="n"/>
      <c r="H236" s="17" t="n"/>
      <c r="I236" s="18" t="n"/>
      <c r="J236" s="21" t="n"/>
      <c r="K236" s="17" t="n"/>
    </row>
    <row r="237">
      <c r="A237" s="17" t="n"/>
      <c r="B237" s="21" t="n"/>
      <c r="C237" s="17" t="n"/>
      <c r="D237" s="17" t="n"/>
      <c r="E237" s="17" t="n"/>
      <c r="F237" s="17" t="n"/>
      <c r="G237" s="17" t="n"/>
      <c r="H237" s="17" t="n"/>
      <c r="I237" s="18" t="n"/>
      <c r="J237" s="21" t="n"/>
      <c r="K237" s="17" t="n"/>
    </row>
    <row r="238">
      <c r="A238" s="17" t="n"/>
      <c r="B238" s="21" t="n"/>
      <c r="C238" s="17" t="n"/>
      <c r="D238" s="17" t="n"/>
      <c r="E238" s="17" t="n"/>
      <c r="F238" s="17" t="n"/>
      <c r="G238" s="17" t="n"/>
      <c r="H238" s="17" t="n"/>
      <c r="I238" s="18" t="n"/>
      <c r="J238" s="21" t="n"/>
      <c r="K238" s="17" t="n"/>
    </row>
    <row r="239">
      <c r="A239" s="17" t="n"/>
      <c r="B239" s="21" t="n"/>
      <c r="C239" s="17" t="n"/>
      <c r="D239" s="17" t="n"/>
      <c r="E239" s="17" t="n"/>
      <c r="F239" s="17" t="n"/>
      <c r="G239" s="17" t="n"/>
      <c r="H239" s="17" t="n"/>
      <c r="I239" s="18" t="n"/>
      <c r="J239" s="21" t="n"/>
      <c r="K239" s="17" t="n"/>
    </row>
    <row r="240">
      <c r="A240" s="17" t="n"/>
      <c r="B240" s="21" t="n"/>
      <c r="C240" s="17" t="n"/>
      <c r="D240" s="17" t="n"/>
      <c r="E240" s="17" t="n"/>
      <c r="F240" s="17" t="n"/>
      <c r="G240" s="17" t="n"/>
      <c r="H240" s="17" t="n"/>
      <c r="I240" s="18" t="n"/>
      <c r="J240" s="21" t="n"/>
      <c r="K240" s="17" t="n"/>
    </row>
    <row r="241">
      <c r="A241" s="17" t="n"/>
      <c r="B241" s="21" t="n"/>
      <c r="C241" s="17" t="n"/>
      <c r="D241" s="17" t="n"/>
      <c r="E241" s="17" t="n"/>
      <c r="F241" s="17" t="n"/>
      <c r="G241" s="17" t="n"/>
      <c r="H241" s="17" t="n"/>
      <c r="I241" s="18" t="n"/>
      <c r="J241" s="21" t="n"/>
      <c r="K241" s="17" t="n"/>
    </row>
    <row r="242">
      <c r="A242" s="17" t="n"/>
      <c r="B242" s="21" t="n"/>
      <c r="C242" s="17" t="n"/>
      <c r="D242" s="17" t="n"/>
      <c r="E242" s="17" t="n"/>
      <c r="F242" s="17" t="n"/>
      <c r="G242" s="17" t="n"/>
      <c r="H242" s="17" t="n"/>
      <c r="I242" s="18" t="n"/>
      <c r="J242" s="21" t="n"/>
      <c r="K242" s="17" t="n"/>
    </row>
    <row r="243">
      <c r="A243" s="17" t="n"/>
      <c r="B243" s="21" t="n"/>
      <c r="C243" s="17" t="n"/>
      <c r="D243" s="17" t="n"/>
      <c r="E243" s="17" t="n"/>
      <c r="F243" s="17" t="n"/>
      <c r="G243" s="17" t="n"/>
      <c r="H243" s="17" t="n"/>
      <c r="I243" s="18" t="n"/>
      <c r="J243" s="21" t="n"/>
      <c r="K243" s="17" t="n"/>
    </row>
    <row r="244">
      <c r="A244" s="17" t="n"/>
      <c r="B244" s="21" t="n"/>
      <c r="C244" s="17" t="n"/>
      <c r="D244" s="17" t="n"/>
      <c r="E244" s="17" t="n"/>
      <c r="F244" s="17" t="n"/>
      <c r="G244" s="17" t="n"/>
      <c r="H244" s="17" t="n"/>
      <c r="I244" s="18" t="n"/>
      <c r="J244" s="21" t="n"/>
      <c r="K244" s="17" t="n"/>
    </row>
    <row r="245">
      <c r="A245" s="17" t="n"/>
      <c r="B245" s="21" t="n"/>
      <c r="C245" s="17" t="n"/>
      <c r="D245" s="17" t="n"/>
      <c r="E245" s="17" t="n"/>
      <c r="F245" s="17" t="n"/>
      <c r="G245" s="17" t="n"/>
      <c r="H245" s="17" t="n"/>
      <c r="I245" s="18" t="n"/>
      <c r="J245" s="21" t="n"/>
      <c r="K245" s="17" t="n"/>
    </row>
    <row r="246">
      <c r="A246" s="17" t="n"/>
      <c r="B246" s="21" t="n"/>
      <c r="C246" s="17" t="n"/>
      <c r="D246" s="17" t="n"/>
      <c r="E246" s="17" t="n"/>
      <c r="F246" s="17" t="n"/>
      <c r="G246" s="17" t="n"/>
      <c r="H246" s="17" t="n"/>
      <c r="I246" s="18" t="n"/>
      <c r="J246" s="21" t="n"/>
      <c r="K246" s="17" t="n"/>
    </row>
    <row r="247">
      <c r="A247" s="17" t="n"/>
      <c r="B247" s="21" t="n"/>
      <c r="C247" s="17" t="n"/>
      <c r="D247" s="17" t="n"/>
      <c r="E247" s="17" t="n"/>
      <c r="F247" s="17" t="n"/>
      <c r="G247" s="17" t="n"/>
      <c r="H247" s="17" t="n"/>
      <c r="I247" s="18" t="n"/>
      <c r="J247" s="21" t="n"/>
      <c r="K247" s="17" t="n"/>
    </row>
    <row r="248">
      <c r="A248" s="17" t="n"/>
      <c r="B248" s="21" t="n"/>
      <c r="C248" s="17" t="n"/>
      <c r="D248" s="17" t="n"/>
      <c r="E248" s="17" t="n"/>
      <c r="F248" s="17" t="n"/>
      <c r="G248" s="17" t="n"/>
      <c r="H248" s="17" t="n"/>
      <c r="I248" s="18" t="n"/>
      <c r="J248" s="21" t="n"/>
      <c r="K248" s="17" t="n"/>
    </row>
    <row r="249">
      <c r="A249" s="17" t="n"/>
      <c r="B249" s="21" t="n"/>
      <c r="C249" s="17" t="n"/>
      <c r="D249" s="17" t="n"/>
      <c r="E249" s="17" t="n"/>
      <c r="F249" s="17" t="n"/>
      <c r="G249" s="17" t="n"/>
      <c r="H249" s="17" t="n"/>
      <c r="I249" s="18" t="n"/>
      <c r="J249" s="21" t="n"/>
      <c r="K249" s="17" t="n"/>
    </row>
    <row r="250">
      <c r="A250" s="17" t="n"/>
      <c r="B250" s="21" t="n"/>
      <c r="C250" s="17" t="n"/>
      <c r="D250" s="17" t="n"/>
      <c r="E250" s="17" t="n"/>
      <c r="F250" s="17" t="n"/>
      <c r="G250" s="17" t="n"/>
      <c r="H250" s="17" t="n"/>
      <c r="I250" s="18" t="n"/>
      <c r="J250" s="21" t="n"/>
      <c r="K250" s="17" t="n"/>
    </row>
    <row r="251">
      <c r="A251" s="17" t="n"/>
      <c r="B251" s="21" t="n"/>
      <c r="C251" s="17" t="n"/>
      <c r="D251" s="17" t="n"/>
      <c r="E251" s="17" t="n"/>
      <c r="F251" s="17" t="n"/>
      <c r="G251" s="17" t="n"/>
      <c r="H251" s="17" t="n"/>
      <c r="I251" s="18" t="n"/>
      <c r="J251" s="21" t="n"/>
      <c r="K251" s="17" t="n"/>
    </row>
    <row r="252">
      <c r="A252" s="17" t="n"/>
      <c r="B252" s="21" t="n"/>
      <c r="C252" s="17" t="n"/>
      <c r="D252" s="17" t="n"/>
      <c r="E252" s="17" t="n"/>
      <c r="F252" s="17" t="n"/>
      <c r="G252" s="17" t="n"/>
      <c r="H252" s="17" t="n"/>
      <c r="I252" s="18" t="n"/>
      <c r="J252" s="21" t="n"/>
      <c r="K252" s="17" t="n"/>
    </row>
    <row r="253">
      <c r="A253" s="17" t="n"/>
      <c r="B253" s="21" t="n"/>
      <c r="C253" s="17" t="n"/>
      <c r="D253" s="17" t="n"/>
      <c r="E253" s="17" t="n"/>
      <c r="F253" s="17" t="n"/>
      <c r="G253" s="17" t="n"/>
      <c r="H253" s="17" t="n"/>
      <c r="I253" s="18" t="n"/>
      <c r="J253" s="21" t="n"/>
      <c r="K253" s="17" t="n"/>
    </row>
    <row r="254">
      <c r="A254" s="17" t="n"/>
      <c r="B254" s="21" t="n"/>
      <c r="C254" s="17" t="n"/>
      <c r="D254" s="17" t="n"/>
      <c r="E254" s="17" t="n"/>
      <c r="F254" s="17" t="n"/>
      <c r="G254" s="17" t="n"/>
      <c r="H254" s="17" t="n"/>
      <c r="I254" s="18" t="n"/>
      <c r="J254" s="21" t="n"/>
      <c r="K254" s="17" t="n"/>
    </row>
    <row r="255">
      <c r="A255" s="17" t="n"/>
      <c r="B255" s="21" t="n"/>
      <c r="C255" s="17" t="n"/>
      <c r="D255" s="17" t="n"/>
      <c r="E255" s="17" t="n"/>
      <c r="F255" s="17" t="n"/>
      <c r="G255" s="17" t="n"/>
      <c r="H255" s="17" t="n"/>
      <c r="I255" s="18" t="n"/>
      <c r="J255" s="21" t="n"/>
      <c r="K255" s="17" t="n"/>
    </row>
    <row r="256">
      <c r="A256" s="17" t="n"/>
      <c r="B256" s="21" t="n"/>
      <c r="C256" s="17" t="n"/>
      <c r="D256" s="17" t="n"/>
      <c r="E256" s="17" t="n"/>
      <c r="F256" s="17" t="n"/>
      <c r="G256" s="17" t="n"/>
      <c r="H256" s="17" t="n"/>
      <c r="I256" s="18" t="n"/>
      <c r="J256" s="21" t="n"/>
      <c r="K256" s="17" t="n"/>
    </row>
    <row r="257">
      <c r="A257" s="17" t="n"/>
      <c r="B257" s="21" t="n"/>
      <c r="C257" s="17" t="n"/>
      <c r="D257" s="17" t="n"/>
      <c r="E257" s="17" t="n"/>
      <c r="F257" s="17" t="n"/>
      <c r="G257" s="17" t="n"/>
      <c r="H257" s="17" t="n"/>
      <c r="I257" s="18" t="n"/>
      <c r="J257" s="21" t="n"/>
      <c r="K257" s="17" t="n"/>
    </row>
    <row r="258">
      <c r="A258" s="17" t="n"/>
      <c r="B258" s="21" t="n"/>
      <c r="C258" s="17" t="n"/>
      <c r="D258" s="17" t="n"/>
      <c r="E258" s="17" t="n"/>
      <c r="F258" s="17" t="n"/>
      <c r="G258" s="17" t="n"/>
      <c r="H258" s="17" t="n"/>
      <c r="I258" s="18" t="n"/>
      <c r="J258" s="21" t="n"/>
      <c r="K258" s="17" t="n"/>
    </row>
    <row r="259">
      <c r="A259" s="17" t="n"/>
      <c r="B259" s="21" t="n"/>
      <c r="C259" s="17" t="n"/>
      <c r="D259" s="17" t="n"/>
      <c r="E259" s="17" t="n"/>
      <c r="F259" s="17" t="n"/>
      <c r="G259" s="17" t="n"/>
      <c r="H259" s="17" t="n"/>
      <c r="I259" s="18" t="n"/>
      <c r="J259" s="21" t="n"/>
      <c r="K259" s="17" t="n"/>
    </row>
    <row r="260">
      <c r="A260" s="17" t="n"/>
      <c r="B260" s="21" t="n"/>
      <c r="C260" s="17" t="n"/>
      <c r="D260" s="17" t="n"/>
      <c r="E260" s="17" t="n"/>
      <c r="F260" s="17" t="n"/>
      <c r="G260" s="17" t="n"/>
      <c r="H260" s="17" t="n"/>
      <c r="I260" s="18" t="n"/>
      <c r="J260" s="21" t="n"/>
      <c r="K260" s="17" t="n"/>
    </row>
    <row r="261">
      <c r="A261" s="17" t="n"/>
      <c r="B261" s="21" t="n"/>
      <c r="C261" s="17" t="n"/>
      <c r="D261" s="17" t="n"/>
      <c r="E261" s="17" t="n"/>
      <c r="F261" s="17" t="n"/>
      <c r="G261" s="17" t="n"/>
      <c r="H261" s="17" t="n"/>
      <c r="I261" s="18" t="n"/>
      <c r="J261" s="21" t="n"/>
      <c r="K261" s="17" t="n"/>
    </row>
    <row r="262">
      <c r="A262" s="17" t="n"/>
      <c r="B262" s="21" t="n"/>
      <c r="C262" s="17" t="n"/>
      <c r="D262" s="17" t="n"/>
      <c r="E262" s="17" t="n"/>
      <c r="F262" s="17" t="n"/>
      <c r="G262" s="17" t="n"/>
      <c r="H262" s="17" t="n"/>
      <c r="I262" s="18" t="n"/>
      <c r="J262" s="21" t="n"/>
      <c r="K262" s="17" t="n"/>
    </row>
    <row r="263">
      <c r="A263" s="17" t="n"/>
      <c r="B263" s="21" t="n"/>
      <c r="C263" s="17" t="n"/>
      <c r="D263" s="17" t="n"/>
      <c r="E263" s="17" t="n"/>
      <c r="F263" s="17" t="n"/>
      <c r="G263" s="17" t="n"/>
      <c r="H263" s="17" t="n"/>
      <c r="I263" s="18" t="n"/>
      <c r="J263" s="21" t="n"/>
      <c r="K263" s="17" t="n"/>
    </row>
    <row r="264">
      <c r="A264" s="17" t="n"/>
      <c r="B264" s="21" t="n"/>
      <c r="C264" s="17" t="n"/>
      <c r="D264" s="17" t="n"/>
      <c r="E264" s="17" t="n"/>
      <c r="F264" s="17" t="n"/>
      <c r="G264" s="17" t="n"/>
      <c r="H264" s="17" t="n"/>
      <c r="I264" s="18" t="n"/>
      <c r="J264" s="21" t="n"/>
      <c r="K264" s="17" t="n"/>
    </row>
    <row r="265">
      <c r="A265" s="17" t="n"/>
      <c r="B265" s="21" t="n"/>
      <c r="C265" s="17" t="n"/>
      <c r="D265" s="17" t="n"/>
      <c r="E265" s="17" t="n"/>
      <c r="F265" s="17" t="n"/>
      <c r="G265" s="17" t="n"/>
      <c r="H265" s="17" t="n"/>
      <c r="I265" s="18" t="n"/>
      <c r="J265" s="21" t="n"/>
      <c r="K265" s="17" t="n"/>
    </row>
    <row r="266">
      <c r="A266" s="17" t="n"/>
      <c r="B266" s="21" t="n"/>
      <c r="C266" s="17" t="n"/>
      <c r="D266" s="17" t="n"/>
      <c r="E266" s="17" t="n"/>
      <c r="F266" s="17" t="n"/>
      <c r="G266" s="17" t="n"/>
      <c r="H266" s="17" t="n"/>
      <c r="I266" s="18" t="n"/>
      <c r="J266" s="21" t="n"/>
      <c r="K266" s="17" t="n"/>
    </row>
    <row r="267">
      <c r="A267" s="17" t="n"/>
      <c r="B267" s="21" t="n"/>
      <c r="C267" s="17" t="n"/>
      <c r="D267" s="17" t="n"/>
      <c r="E267" s="17" t="n"/>
      <c r="F267" s="17" t="n"/>
      <c r="G267" s="17" t="n"/>
      <c r="H267" s="17" t="n"/>
      <c r="I267" s="18" t="n"/>
      <c r="J267" s="21" t="n"/>
      <c r="K267" s="17" t="n"/>
    </row>
    <row r="268">
      <c r="A268" s="17" t="n"/>
      <c r="B268" s="21" t="n"/>
      <c r="C268" s="17" t="n"/>
      <c r="D268" s="17" t="n"/>
      <c r="E268" s="17" t="n"/>
      <c r="F268" s="17" t="n"/>
      <c r="G268" s="17" t="n"/>
      <c r="H268" s="17" t="n"/>
      <c r="I268" s="18" t="n"/>
      <c r="J268" s="21" t="n"/>
      <c r="K268" s="17" t="n"/>
    </row>
    <row r="269">
      <c r="A269" s="17" t="n"/>
      <c r="B269" s="21" t="n"/>
      <c r="C269" s="17" t="n"/>
      <c r="D269" s="17" t="n"/>
      <c r="E269" s="17" t="n"/>
      <c r="F269" s="17" t="n"/>
      <c r="G269" s="17" t="n"/>
      <c r="H269" s="17" t="n"/>
      <c r="I269" s="18" t="n"/>
      <c r="J269" s="21" t="n"/>
      <c r="K269" s="17" t="n"/>
    </row>
    <row r="270">
      <c r="A270" s="17" t="n"/>
      <c r="B270" s="21" t="n"/>
      <c r="C270" s="17" t="n"/>
      <c r="D270" s="17" t="n"/>
      <c r="E270" s="17" t="n"/>
      <c r="F270" s="17" t="n"/>
      <c r="G270" s="17" t="n"/>
      <c r="H270" s="17" t="n"/>
      <c r="I270" s="18" t="n"/>
      <c r="J270" s="21" t="n"/>
      <c r="K270" s="17" t="n"/>
    </row>
    <row r="271">
      <c r="A271" s="17" t="n"/>
      <c r="B271" s="21" t="n"/>
      <c r="C271" s="17" t="n"/>
      <c r="D271" s="17" t="n"/>
      <c r="E271" s="17" t="n"/>
      <c r="F271" s="17" t="n"/>
      <c r="G271" s="17" t="n"/>
      <c r="H271" s="17" t="n"/>
      <c r="I271" s="18" t="n"/>
      <c r="J271" s="21" t="n"/>
      <c r="K271" s="17" t="n"/>
    </row>
    <row r="272">
      <c r="A272" s="17" t="n"/>
      <c r="B272" s="21" t="n"/>
      <c r="C272" s="17" t="n"/>
      <c r="D272" s="17" t="n"/>
      <c r="E272" s="17" t="n"/>
      <c r="F272" s="17" t="n"/>
      <c r="G272" s="17" t="n"/>
      <c r="H272" s="17" t="n"/>
      <c r="I272" s="18" t="n"/>
      <c r="J272" s="21" t="n"/>
      <c r="K272" s="17" t="n"/>
    </row>
    <row r="273">
      <c r="A273" s="17" t="n"/>
      <c r="B273" s="21" t="n"/>
      <c r="C273" s="17" t="n"/>
      <c r="D273" s="17" t="n"/>
      <c r="E273" s="17" t="n"/>
      <c r="F273" s="17" t="n"/>
      <c r="G273" s="17" t="n"/>
      <c r="H273" s="17" t="n"/>
      <c r="I273" s="18" t="n"/>
      <c r="J273" s="21" t="n"/>
      <c r="K273" s="17" t="n"/>
    </row>
    <row r="274">
      <c r="A274" s="17" t="n"/>
      <c r="B274" s="21" t="n"/>
      <c r="C274" s="17" t="n"/>
      <c r="D274" s="17" t="n"/>
      <c r="E274" s="17" t="n"/>
      <c r="F274" s="17" t="n"/>
      <c r="G274" s="17" t="n"/>
      <c r="H274" s="17" t="n"/>
      <c r="I274" s="18" t="n"/>
      <c r="J274" s="21" t="n"/>
      <c r="K274" s="17" t="n"/>
    </row>
    <row r="275">
      <c r="A275" s="17" t="n"/>
      <c r="B275" s="21" t="n"/>
      <c r="C275" s="17" t="n"/>
      <c r="D275" s="17" t="n"/>
      <c r="E275" s="17" t="n"/>
      <c r="F275" s="17" t="n"/>
      <c r="G275" s="17" t="n"/>
      <c r="H275" s="17" t="n"/>
      <c r="I275" s="18" t="n"/>
      <c r="J275" s="21" t="n"/>
      <c r="K275" s="17" t="n"/>
    </row>
    <row r="276">
      <c r="A276" s="17" t="n"/>
      <c r="B276" s="21" t="n"/>
      <c r="C276" s="17" t="n"/>
      <c r="D276" s="17" t="n"/>
      <c r="E276" s="17" t="n"/>
      <c r="F276" s="17" t="n"/>
      <c r="G276" s="17" t="n"/>
      <c r="H276" s="17" t="n"/>
      <c r="I276" s="18" t="n"/>
      <c r="J276" s="21" t="n"/>
      <c r="K276" s="17" t="n"/>
    </row>
    <row r="277">
      <c r="A277" s="17" t="n"/>
      <c r="B277" s="21" t="n"/>
      <c r="C277" s="17" t="n"/>
      <c r="D277" s="17" t="n"/>
      <c r="E277" s="17" t="n"/>
      <c r="F277" s="17" t="n"/>
      <c r="G277" s="17" t="n"/>
      <c r="H277" s="17" t="n"/>
      <c r="I277" s="18" t="n"/>
      <c r="J277" s="21" t="n"/>
      <c r="K277" s="17" t="n"/>
    </row>
    <row r="278">
      <c r="A278" s="17" t="n"/>
      <c r="B278" s="21" t="n"/>
      <c r="C278" s="17" t="n"/>
      <c r="D278" s="17" t="n"/>
      <c r="E278" s="17" t="n"/>
      <c r="F278" s="17" t="n"/>
      <c r="G278" s="17" t="n"/>
      <c r="H278" s="17" t="n"/>
      <c r="I278" s="18" t="n"/>
      <c r="J278" s="21" t="n"/>
      <c r="K278" s="17" t="n"/>
    </row>
    <row r="279">
      <c r="A279" s="17" t="n"/>
      <c r="B279" s="21" t="n"/>
      <c r="C279" s="17" t="n"/>
      <c r="D279" s="17" t="n"/>
      <c r="E279" s="17" t="n"/>
      <c r="F279" s="17" t="n"/>
      <c r="G279" s="17" t="n"/>
      <c r="H279" s="17" t="n"/>
      <c r="I279" s="18" t="n"/>
      <c r="J279" s="21" t="n"/>
      <c r="K279" s="17" t="n"/>
    </row>
    <row r="280">
      <c r="A280" s="17" t="n"/>
      <c r="B280" s="21" t="n"/>
      <c r="C280" s="17" t="n"/>
      <c r="D280" s="17" t="n"/>
      <c r="E280" s="17" t="n"/>
      <c r="F280" s="17" t="n"/>
      <c r="G280" s="17" t="n"/>
      <c r="H280" s="17" t="n"/>
      <c r="I280" s="18" t="n"/>
      <c r="J280" s="21" t="n"/>
      <c r="K280" s="17" t="n"/>
    </row>
    <row r="281">
      <c r="A281" s="17" t="n"/>
      <c r="B281" s="21" t="n"/>
      <c r="C281" s="17" t="n"/>
      <c r="D281" s="17" t="n"/>
      <c r="E281" s="17" t="n"/>
      <c r="F281" s="17" t="n"/>
      <c r="G281" s="17" t="n"/>
      <c r="H281" s="17" t="n"/>
      <c r="I281" s="18" t="n"/>
      <c r="J281" s="21" t="n"/>
      <c r="K281" s="17" t="n"/>
    </row>
    <row r="282">
      <c r="A282" s="17" t="n"/>
      <c r="B282" s="21" t="n"/>
      <c r="C282" s="17" t="n"/>
      <c r="D282" s="17" t="n"/>
      <c r="E282" s="17" t="n"/>
      <c r="F282" s="17" t="n"/>
      <c r="G282" s="17" t="n"/>
      <c r="H282" s="17" t="n"/>
      <c r="I282" s="18" t="n"/>
      <c r="J282" s="21" t="n"/>
      <c r="K282" s="17" t="n"/>
    </row>
    <row r="283">
      <c r="A283" s="17" t="n"/>
      <c r="B283" s="21" t="n"/>
      <c r="C283" s="17" t="n"/>
      <c r="D283" s="17" t="n"/>
      <c r="E283" s="17" t="n"/>
      <c r="F283" s="17" t="n"/>
      <c r="G283" s="17" t="n"/>
      <c r="H283" s="17" t="n"/>
      <c r="I283" s="18" t="n"/>
      <c r="J283" s="21" t="n"/>
      <c r="K283" s="17" t="n"/>
    </row>
    <row r="284">
      <c r="A284" s="17" t="n"/>
      <c r="B284" s="21" t="n"/>
      <c r="C284" s="17" t="n"/>
      <c r="D284" s="17" t="n"/>
      <c r="E284" s="17" t="n"/>
      <c r="F284" s="17" t="n"/>
      <c r="G284" s="17" t="n"/>
      <c r="H284" s="17" t="n"/>
      <c r="I284" s="18" t="n"/>
      <c r="J284" s="21" t="n"/>
      <c r="K284" s="17" t="n"/>
    </row>
    <row r="285">
      <c r="A285" s="17" t="n"/>
      <c r="B285" s="21" t="n"/>
      <c r="C285" s="17" t="n"/>
      <c r="D285" s="17" t="n"/>
      <c r="E285" s="17" t="n"/>
      <c r="F285" s="17" t="n"/>
      <c r="G285" s="17" t="n"/>
      <c r="H285" s="17" t="n"/>
      <c r="I285" s="18" t="n"/>
      <c r="J285" s="21" t="n"/>
      <c r="K285" s="17" t="n"/>
    </row>
    <row r="286">
      <c r="A286" s="17" t="n"/>
      <c r="B286" s="21" t="n"/>
      <c r="C286" s="17" t="n"/>
      <c r="D286" s="17" t="n"/>
      <c r="E286" s="17" t="n"/>
      <c r="F286" s="17" t="n"/>
      <c r="G286" s="17" t="n"/>
      <c r="H286" s="17" t="n"/>
      <c r="I286" s="18" t="n"/>
      <c r="J286" s="21" t="n"/>
      <c r="K286" s="17" t="n"/>
    </row>
    <row r="287">
      <c r="A287" s="17" t="n"/>
      <c r="B287" s="21" t="n"/>
      <c r="C287" s="17" t="n"/>
      <c r="D287" s="17" t="n"/>
      <c r="E287" s="17" t="n"/>
      <c r="F287" s="17" t="n"/>
      <c r="G287" s="17" t="n"/>
      <c r="H287" s="17" t="n"/>
      <c r="I287" s="18" t="n"/>
      <c r="J287" s="21" t="n"/>
      <c r="K287" s="17" t="n"/>
    </row>
    <row r="288">
      <c r="A288" s="17" t="n"/>
      <c r="B288" s="21" t="n"/>
      <c r="C288" s="17" t="n"/>
      <c r="D288" s="17" t="n"/>
      <c r="E288" s="17" t="n"/>
      <c r="F288" s="17" t="n"/>
      <c r="G288" s="17" t="n"/>
      <c r="H288" s="17" t="n"/>
      <c r="I288" s="18" t="n"/>
      <c r="J288" s="21" t="n"/>
      <c r="K288" s="17" t="n"/>
    </row>
    <row r="289">
      <c r="A289" s="17" t="n"/>
      <c r="B289" s="21" t="n"/>
      <c r="C289" s="17" t="n"/>
      <c r="D289" s="17" t="n"/>
      <c r="E289" s="17" t="n"/>
      <c r="F289" s="17" t="n"/>
      <c r="G289" s="17" t="n"/>
      <c r="H289" s="17" t="n"/>
      <c r="I289" s="18" t="n"/>
      <c r="J289" s="21" t="n"/>
      <c r="K289" s="17" t="n"/>
    </row>
    <row r="290">
      <c r="A290" s="17" t="n"/>
      <c r="B290" s="21" t="n"/>
      <c r="C290" s="17" t="n"/>
      <c r="D290" s="17" t="n"/>
      <c r="E290" s="17" t="n"/>
      <c r="F290" s="17" t="n"/>
      <c r="G290" s="17" t="n"/>
      <c r="H290" s="17" t="n"/>
      <c r="I290" s="18" t="n"/>
      <c r="J290" s="21" t="n"/>
      <c r="K290" s="17" t="n"/>
    </row>
    <row r="291">
      <c r="A291" s="17" t="n"/>
      <c r="B291" s="21" t="n"/>
      <c r="C291" s="17" t="n"/>
      <c r="D291" s="17" t="n"/>
      <c r="E291" s="17" t="n"/>
      <c r="F291" s="17" t="n"/>
      <c r="G291" s="17" t="n"/>
      <c r="H291" s="17" t="n"/>
      <c r="I291" s="18" t="n"/>
      <c r="J291" s="21" t="n"/>
      <c r="K291" s="17" t="n"/>
    </row>
    <row r="292">
      <c r="A292" s="17" t="n"/>
      <c r="B292" s="21" t="n"/>
      <c r="C292" s="17" t="n"/>
      <c r="D292" s="17" t="n"/>
      <c r="E292" s="17" t="n"/>
      <c r="F292" s="17" t="n"/>
      <c r="G292" s="17" t="n"/>
      <c r="H292" s="17" t="n"/>
      <c r="I292" s="18" t="n"/>
      <c r="J292" s="21" t="n"/>
      <c r="K292" s="17" t="n"/>
    </row>
    <row r="293">
      <c r="A293" s="17" t="n"/>
      <c r="B293" s="21" t="n"/>
      <c r="C293" s="17" t="n"/>
      <c r="D293" s="17" t="n"/>
      <c r="E293" s="17" t="n"/>
      <c r="F293" s="17" t="n"/>
      <c r="G293" s="17" t="n"/>
      <c r="H293" s="17" t="n"/>
      <c r="I293" s="18" t="n"/>
      <c r="J293" s="21" t="n"/>
      <c r="K293" s="17" t="n"/>
    </row>
    <row r="294">
      <c r="A294" s="17" t="n"/>
      <c r="B294" s="21" t="n"/>
      <c r="C294" s="17" t="n"/>
      <c r="D294" s="17" t="n"/>
      <c r="E294" s="17" t="n"/>
      <c r="F294" s="17" t="n"/>
      <c r="G294" s="17" t="n"/>
      <c r="H294" s="17" t="n"/>
      <c r="I294" s="18" t="n"/>
      <c r="J294" s="21" t="n"/>
      <c r="K294" s="17" t="n"/>
    </row>
    <row r="295">
      <c r="A295" s="17" t="n"/>
      <c r="B295" s="21" t="n"/>
      <c r="C295" s="17" t="n"/>
      <c r="D295" s="17" t="n"/>
      <c r="E295" s="17" t="n"/>
      <c r="F295" s="17" t="n"/>
      <c r="G295" s="17" t="n"/>
      <c r="H295" s="17" t="n"/>
      <c r="I295" s="18" t="n"/>
      <c r="J295" s="21" t="n"/>
      <c r="K295" s="17" t="n"/>
    </row>
    <row r="296">
      <c r="A296" s="17" t="n"/>
      <c r="B296" s="21" t="n"/>
      <c r="C296" s="17" t="n"/>
      <c r="D296" s="17" t="n"/>
      <c r="E296" s="17" t="n"/>
      <c r="F296" s="17" t="n"/>
      <c r="G296" s="17" t="n"/>
      <c r="H296" s="17" t="n"/>
      <c r="I296" s="18" t="n"/>
      <c r="J296" s="21" t="n"/>
      <c r="K296" s="17" t="n"/>
    </row>
    <row r="297">
      <c r="A297" s="17" t="n"/>
      <c r="B297" s="21" t="n"/>
      <c r="C297" s="17" t="n"/>
      <c r="D297" s="17" t="n"/>
      <c r="E297" s="17" t="n"/>
      <c r="F297" s="17" t="n"/>
      <c r="G297" s="17" t="n"/>
      <c r="H297" s="17" t="n"/>
      <c r="I297" s="18" t="n"/>
      <c r="J297" s="21" t="n"/>
      <c r="K297" s="17" t="n"/>
    </row>
    <row r="298">
      <c r="A298" s="17" t="n"/>
      <c r="B298" s="21" t="n"/>
      <c r="C298" s="17" t="n"/>
      <c r="D298" s="17" t="n"/>
      <c r="E298" s="17" t="n"/>
      <c r="F298" s="17" t="n"/>
      <c r="G298" s="17" t="n"/>
      <c r="H298" s="17" t="n"/>
      <c r="I298" s="18" t="n"/>
      <c r="J298" s="21" t="n"/>
      <c r="K298" s="17" t="n"/>
    </row>
    <row r="299">
      <c r="A299" s="17" t="n"/>
      <c r="B299" s="21" t="n"/>
      <c r="C299" s="17" t="n"/>
      <c r="D299" s="17" t="n"/>
      <c r="E299" s="17" t="n"/>
      <c r="F299" s="17" t="n"/>
      <c r="G299" s="17" t="n"/>
      <c r="H299" s="17" t="n"/>
      <c r="I299" s="18" t="n"/>
      <c r="J299" s="21" t="n"/>
      <c r="K299" s="17" t="n"/>
    </row>
    <row r="300">
      <c r="A300" s="17" t="n"/>
      <c r="B300" s="21" t="n"/>
      <c r="C300" s="17" t="n"/>
      <c r="D300" s="17" t="n"/>
      <c r="E300" s="17" t="n"/>
      <c r="F300" s="17" t="n"/>
      <c r="G300" s="17" t="n"/>
      <c r="H300" s="17" t="n"/>
      <c r="I300" s="18" t="n"/>
      <c r="J300" s="21" t="n"/>
      <c r="K300" s="17" t="n"/>
    </row>
    <row r="301">
      <c r="A301" s="17" t="n"/>
      <c r="B301" s="21" t="n"/>
      <c r="C301" s="17" t="n"/>
      <c r="D301" s="17" t="n"/>
      <c r="E301" s="17" t="n"/>
      <c r="F301" s="17" t="n"/>
      <c r="G301" s="17" t="n"/>
      <c r="H301" s="17" t="n"/>
      <c r="I301" s="18" t="n"/>
      <c r="J301" s="21" t="n"/>
      <c r="K301" s="17" t="n"/>
    </row>
    <row r="302">
      <c r="A302" s="17" t="n"/>
      <c r="B302" s="21" t="n"/>
      <c r="C302" s="17" t="n"/>
      <c r="D302" s="17" t="n"/>
      <c r="E302" s="17" t="n"/>
      <c r="F302" s="17" t="n"/>
      <c r="G302" s="17" t="n"/>
      <c r="H302" s="17" t="n"/>
      <c r="I302" s="18" t="n"/>
      <c r="J302" s="21" t="n"/>
      <c r="K302" s="17" t="n"/>
    </row>
    <row r="303">
      <c r="A303" s="17" t="n"/>
      <c r="B303" s="21" t="n"/>
      <c r="C303" s="17" t="n"/>
      <c r="D303" s="17" t="n"/>
      <c r="E303" s="17" t="n"/>
      <c r="F303" s="17" t="n"/>
      <c r="G303" s="17" t="n"/>
      <c r="H303" s="17" t="n"/>
      <c r="I303" s="18" t="n"/>
      <c r="J303" s="21" t="n"/>
      <c r="K303" s="17" t="n"/>
    </row>
    <row r="304">
      <c r="A304" s="17" t="n"/>
      <c r="B304" s="21" t="n"/>
      <c r="C304" s="17" t="n"/>
      <c r="D304" s="17" t="n"/>
      <c r="E304" s="17" t="n"/>
      <c r="F304" s="17" t="n"/>
      <c r="G304" s="17" t="n"/>
      <c r="H304" s="17" t="n"/>
      <c r="I304" s="18" t="n"/>
      <c r="J304" s="21" t="n"/>
      <c r="K304" s="17" t="n"/>
    </row>
    <row r="305">
      <c r="A305" s="17" t="n"/>
      <c r="B305" s="21" t="n"/>
      <c r="C305" s="17" t="n"/>
      <c r="D305" s="17" t="n"/>
      <c r="E305" s="17" t="n"/>
      <c r="F305" s="17" t="n"/>
      <c r="G305" s="17" t="n"/>
      <c r="H305" s="17" t="n"/>
      <c r="I305" s="18" t="n"/>
      <c r="J305" s="21" t="n"/>
      <c r="K305" s="17" t="n"/>
    </row>
    <row r="306">
      <c r="A306" s="17" t="n"/>
      <c r="B306" s="21" t="n"/>
      <c r="C306" s="17" t="n"/>
      <c r="D306" s="17" t="n"/>
      <c r="E306" s="17" t="n"/>
      <c r="F306" s="17" t="n"/>
      <c r="G306" s="17" t="n"/>
      <c r="H306" s="17" t="n"/>
      <c r="I306" s="18" t="n"/>
      <c r="J306" s="21" t="n"/>
      <c r="K306" s="17" t="n"/>
    </row>
    <row r="307">
      <c r="A307" s="17" t="n"/>
      <c r="B307" s="21" t="n"/>
      <c r="C307" s="17" t="n"/>
      <c r="D307" s="17" t="n"/>
      <c r="E307" s="17" t="n"/>
      <c r="F307" s="17" t="n"/>
      <c r="G307" s="17" t="n"/>
      <c r="H307" s="17" t="n"/>
      <c r="I307" s="18" t="n"/>
      <c r="J307" s="21" t="n"/>
      <c r="K307" s="17" t="n"/>
    </row>
    <row r="308">
      <c r="A308" s="17" t="n"/>
      <c r="B308" s="21" t="n"/>
      <c r="C308" s="17" t="n"/>
      <c r="D308" s="17" t="n"/>
      <c r="E308" s="17" t="n"/>
      <c r="F308" s="17" t="n"/>
      <c r="G308" s="17" t="n"/>
      <c r="H308" s="17" t="n"/>
      <c r="I308" s="18" t="n"/>
      <c r="J308" s="21" t="n"/>
      <c r="K308" s="17" t="n"/>
    </row>
    <row r="309">
      <c r="A309" s="17" t="n"/>
      <c r="B309" s="21" t="n"/>
      <c r="C309" s="17" t="n"/>
      <c r="D309" s="17" t="n"/>
      <c r="E309" s="17" t="n"/>
      <c r="F309" s="17" t="n"/>
      <c r="G309" s="17" t="n"/>
      <c r="H309" s="17" t="n"/>
      <c r="I309" s="18" t="n"/>
      <c r="J309" s="21" t="n"/>
      <c r="K309" s="17" t="n"/>
    </row>
    <row r="310">
      <c r="A310" s="17" t="n"/>
      <c r="B310" s="21" t="n"/>
      <c r="C310" s="17" t="n"/>
      <c r="D310" s="17" t="n"/>
      <c r="E310" s="17" t="n"/>
      <c r="F310" s="17" t="n"/>
      <c r="G310" s="17" t="n"/>
      <c r="H310" s="17" t="n"/>
      <c r="I310" s="18" t="n"/>
      <c r="J310" s="21" t="n"/>
      <c r="K310" s="17" t="n"/>
    </row>
    <row r="311">
      <c r="A311" s="17" t="n"/>
      <c r="B311" s="21" t="n"/>
      <c r="C311" s="17" t="n"/>
      <c r="D311" s="17" t="n"/>
      <c r="E311" s="17" t="n"/>
      <c r="F311" s="17" t="n"/>
      <c r="G311" s="17" t="n"/>
      <c r="H311" s="17" t="n"/>
      <c r="I311" s="18" t="n"/>
      <c r="J311" s="21" t="n"/>
      <c r="K311" s="17" t="n"/>
    </row>
    <row r="312">
      <c r="A312" s="17" t="n"/>
      <c r="B312" s="21" t="n"/>
      <c r="C312" s="17" t="n"/>
      <c r="D312" s="17" t="n"/>
      <c r="E312" s="17" t="n"/>
      <c r="F312" s="17" t="n"/>
      <c r="G312" s="17" t="n"/>
      <c r="H312" s="17" t="n"/>
      <c r="I312" s="18" t="n"/>
      <c r="J312" s="21" t="n"/>
      <c r="K312" s="17" t="n"/>
    </row>
    <row r="313">
      <c r="A313" s="17" t="n"/>
      <c r="B313" s="21" t="n"/>
      <c r="C313" s="17" t="n"/>
      <c r="D313" s="17" t="n"/>
      <c r="E313" s="17" t="n"/>
      <c r="F313" s="17" t="n"/>
      <c r="G313" s="17" t="n"/>
      <c r="H313" s="17" t="n"/>
      <c r="I313" s="18" t="n"/>
      <c r="J313" s="21" t="n"/>
      <c r="K313" s="17" t="n"/>
    </row>
    <row r="314">
      <c r="A314" s="17" t="n"/>
      <c r="B314" s="21" t="n"/>
      <c r="C314" s="17" t="n"/>
      <c r="D314" s="17" t="n"/>
      <c r="E314" s="17" t="n"/>
      <c r="F314" s="17" t="n"/>
      <c r="G314" s="17" t="n"/>
      <c r="H314" s="17" t="n"/>
      <c r="I314" s="18" t="n"/>
      <c r="J314" s="21" t="n"/>
      <c r="K314" s="17" t="n"/>
    </row>
    <row r="315">
      <c r="A315" s="17" t="n"/>
      <c r="B315" s="21" t="n"/>
      <c r="C315" s="17" t="n"/>
      <c r="D315" s="17" t="n"/>
      <c r="E315" s="17" t="n"/>
      <c r="F315" s="17" t="n"/>
      <c r="G315" s="17" t="n"/>
      <c r="H315" s="17" t="n"/>
      <c r="I315" s="18" t="n"/>
      <c r="J315" s="21" t="n"/>
      <c r="K315" s="17" t="n"/>
    </row>
    <row r="316">
      <c r="A316" s="17" t="n"/>
      <c r="B316" s="21" t="n"/>
      <c r="C316" s="17" t="n"/>
      <c r="D316" s="17" t="n"/>
      <c r="E316" s="17" t="n"/>
      <c r="F316" s="17" t="n"/>
      <c r="G316" s="17" t="n"/>
      <c r="H316" s="17" t="n"/>
      <c r="I316" s="18" t="n"/>
      <c r="J316" s="21" t="n"/>
      <c r="K316" s="17" t="n"/>
    </row>
    <row r="317">
      <c r="A317" s="17" t="n"/>
      <c r="B317" s="21" t="n"/>
      <c r="C317" s="17" t="n"/>
      <c r="D317" s="17" t="n"/>
      <c r="E317" s="17" t="n"/>
      <c r="F317" s="17" t="n"/>
      <c r="G317" s="17" t="n"/>
      <c r="H317" s="17" t="n"/>
      <c r="I317" s="18" t="n"/>
      <c r="J317" s="21" t="n"/>
      <c r="K317" s="17" t="n"/>
    </row>
    <row r="318">
      <c r="A318" s="17" t="n"/>
      <c r="B318" s="21" t="n"/>
      <c r="C318" s="17" t="n"/>
      <c r="D318" s="17" t="n"/>
      <c r="E318" s="17" t="n"/>
      <c r="F318" s="17" t="n"/>
      <c r="G318" s="17" t="n"/>
      <c r="H318" s="17" t="n"/>
      <c r="I318" s="18" t="n"/>
      <c r="J318" s="21" t="n"/>
      <c r="K318" s="17" t="n"/>
    </row>
    <row r="319">
      <c r="A319" s="17" t="n"/>
      <c r="B319" s="21" t="n"/>
      <c r="C319" s="17" t="n"/>
      <c r="D319" s="17" t="n"/>
      <c r="E319" s="17" t="n"/>
      <c r="F319" s="17" t="n"/>
      <c r="G319" s="17" t="n"/>
      <c r="H319" s="17" t="n"/>
      <c r="I319" s="18" t="n"/>
      <c r="J319" s="21" t="n"/>
      <c r="K319" s="17" t="n"/>
    </row>
    <row r="320">
      <c r="A320" s="17" t="n"/>
      <c r="B320" s="21" t="n"/>
      <c r="C320" s="17" t="n"/>
      <c r="D320" s="17" t="n"/>
      <c r="E320" s="17" t="n"/>
      <c r="F320" s="17" t="n"/>
      <c r="G320" s="17" t="n"/>
      <c r="H320" s="17" t="n"/>
      <c r="I320" s="18" t="n"/>
      <c r="J320" s="21" t="n"/>
      <c r="K320" s="17" t="n"/>
    </row>
    <row r="321">
      <c r="A321" s="17" t="n"/>
      <c r="B321" s="21" t="n"/>
      <c r="C321" s="17" t="n"/>
      <c r="D321" s="17" t="n"/>
      <c r="E321" s="17" t="n"/>
      <c r="F321" s="17" t="n"/>
      <c r="G321" s="17" t="n"/>
      <c r="H321" s="17" t="n"/>
      <c r="I321" s="18" t="n"/>
      <c r="J321" s="21" t="n"/>
      <c r="K321" s="17" t="n"/>
    </row>
    <row r="322">
      <c r="A322" s="17" t="n"/>
      <c r="B322" s="21" t="n"/>
      <c r="C322" s="17" t="n"/>
      <c r="D322" s="17" t="n"/>
      <c r="E322" s="17" t="n"/>
      <c r="F322" s="17" t="n"/>
      <c r="G322" s="17" t="n"/>
      <c r="H322" s="17" t="n"/>
      <c r="I322" s="18" t="n"/>
      <c r="J322" s="21" t="n"/>
      <c r="K322" s="17" t="n"/>
    </row>
    <row r="323">
      <c r="A323" s="17" t="n"/>
      <c r="B323" s="21" t="n"/>
      <c r="C323" s="17" t="n"/>
      <c r="D323" s="17" t="n"/>
      <c r="E323" s="17" t="n"/>
      <c r="F323" s="17" t="n"/>
      <c r="G323" s="17" t="n"/>
      <c r="H323" s="17" t="n"/>
      <c r="I323" s="18" t="n"/>
      <c r="J323" s="21" t="n"/>
      <c r="K323" s="17" t="n"/>
    </row>
    <row r="324">
      <c r="A324" s="17" t="n"/>
      <c r="B324" s="21" t="n"/>
      <c r="C324" s="17" t="n"/>
      <c r="D324" s="17" t="n"/>
      <c r="E324" s="17" t="n"/>
      <c r="F324" s="17" t="n"/>
      <c r="G324" s="17" t="n"/>
      <c r="H324" s="17" t="n"/>
      <c r="I324" s="18" t="n"/>
      <c r="J324" s="21" t="n"/>
      <c r="K324" s="17" t="n"/>
    </row>
    <row r="325">
      <c r="A325" s="17" t="n"/>
      <c r="B325" s="21" t="n"/>
      <c r="C325" s="17" t="n"/>
      <c r="D325" s="17" t="n"/>
      <c r="E325" s="17" t="n"/>
      <c r="F325" s="17" t="n"/>
      <c r="G325" s="17" t="n"/>
      <c r="H325" s="17" t="n"/>
      <c r="I325" s="18" t="n"/>
      <c r="J325" s="21" t="n"/>
      <c r="K325" s="17" t="n"/>
    </row>
    <row r="326">
      <c r="A326" s="17" t="n"/>
      <c r="B326" s="21" t="n"/>
      <c r="C326" s="17" t="n"/>
      <c r="D326" s="17" t="n"/>
      <c r="E326" s="17" t="n"/>
      <c r="F326" s="17" t="n"/>
      <c r="G326" s="17" t="n"/>
      <c r="H326" s="17" t="n"/>
      <c r="I326" s="18" t="n"/>
      <c r="J326" s="21" t="n"/>
      <c r="K326" s="17" t="n"/>
    </row>
    <row r="327">
      <c r="A327" s="17" t="n"/>
      <c r="B327" s="21" t="n"/>
      <c r="C327" s="17" t="n"/>
      <c r="D327" s="17" t="n"/>
      <c r="E327" s="17" t="n"/>
      <c r="F327" s="17" t="n"/>
      <c r="G327" s="17" t="n"/>
      <c r="H327" s="17" t="n"/>
      <c r="I327" s="18" t="n"/>
      <c r="J327" s="21" t="n"/>
      <c r="K327" s="17" t="n"/>
    </row>
    <row r="328">
      <c r="A328" s="17" t="n"/>
      <c r="B328" s="21" t="n"/>
      <c r="C328" s="17" t="n"/>
      <c r="D328" s="17" t="n"/>
      <c r="E328" s="17" t="n"/>
      <c r="F328" s="17" t="n"/>
      <c r="G328" s="17" t="n"/>
      <c r="H328" s="17" t="n"/>
      <c r="I328" s="18" t="n"/>
      <c r="J328" s="21" t="n"/>
      <c r="K328" s="17" t="n"/>
    </row>
    <row r="329">
      <c r="A329" s="17" t="n"/>
      <c r="B329" s="21" t="n"/>
      <c r="C329" s="17" t="n"/>
      <c r="D329" s="17" t="n"/>
      <c r="E329" s="17" t="n"/>
      <c r="F329" s="17" t="n"/>
      <c r="G329" s="17" t="n"/>
      <c r="H329" s="17" t="n"/>
      <c r="I329" s="18" t="n"/>
      <c r="J329" s="21" t="n"/>
      <c r="K329" s="17" t="n"/>
    </row>
    <row r="330">
      <c r="A330" s="17" t="n"/>
      <c r="B330" s="21" t="n"/>
      <c r="C330" s="17" t="n"/>
      <c r="D330" s="17" t="n"/>
      <c r="E330" s="17" t="n"/>
      <c r="F330" s="17" t="n"/>
      <c r="G330" s="17" t="n"/>
      <c r="H330" s="17" t="n"/>
      <c r="I330" s="18" t="n"/>
      <c r="J330" s="21" t="n"/>
      <c r="K330" s="17" t="n"/>
    </row>
    <row r="331">
      <c r="A331" s="17" t="n"/>
      <c r="B331" s="21" t="n"/>
      <c r="C331" s="17" t="n"/>
      <c r="D331" s="17" t="n"/>
      <c r="E331" s="17" t="n"/>
      <c r="F331" s="17" t="n"/>
      <c r="G331" s="17" t="n"/>
      <c r="H331" s="17" t="n"/>
      <c r="I331" s="18" t="n"/>
      <c r="J331" s="21" t="n"/>
      <c r="K331" s="17" t="n"/>
    </row>
    <row r="332">
      <c r="A332" s="17" t="n"/>
      <c r="B332" s="21" t="n"/>
      <c r="C332" s="17" t="n"/>
      <c r="D332" s="17" t="n"/>
      <c r="E332" s="17" t="n"/>
      <c r="F332" s="17" t="n"/>
      <c r="G332" s="17" t="n"/>
      <c r="H332" s="17" t="n"/>
      <c r="I332" s="18" t="n"/>
      <c r="J332" s="21" t="n"/>
      <c r="K332" s="17" t="n"/>
    </row>
    <row r="333">
      <c r="A333" s="17" t="n"/>
      <c r="B333" s="21" t="n"/>
      <c r="C333" s="17" t="n"/>
      <c r="D333" s="17" t="n"/>
      <c r="E333" s="17" t="n"/>
      <c r="F333" s="17" t="n"/>
      <c r="G333" s="17" t="n"/>
      <c r="H333" s="17" t="n"/>
      <c r="I333" s="18" t="n"/>
      <c r="J333" s="21" t="n"/>
      <c r="K333" s="17" t="n"/>
    </row>
    <row r="334">
      <c r="A334" s="17" t="n"/>
      <c r="B334" s="21" t="n"/>
      <c r="C334" s="17" t="n"/>
      <c r="D334" s="17" t="n"/>
      <c r="E334" s="17" t="n"/>
      <c r="F334" s="17" t="n"/>
      <c r="G334" s="17" t="n"/>
      <c r="H334" s="17" t="n"/>
      <c r="I334" s="18" t="n"/>
      <c r="J334" s="21" t="n"/>
      <c r="K334" s="17" t="n"/>
    </row>
    <row r="335">
      <c r="A335" s="17" t="n"/>
      <c r="B335" s="21" t="n"/>
      <c r="C335" s="17" t="n"/>
      <c r="D335" s="17" t="n"/>
      <c r="E335" s="17" t="n"/>
      <c r="F335" s="17" t="n"/>
      <c r="G335" s="17" t="n"/>
      <c r="H335" s="17" t="n"/>
      <c r="I335" s="18" t="n"/>
      <c r="J335" s="21" t="n"/>
      <c r="K335" s="17" t="n"/>
    </row>
    <row r="336">
      <c r="A336" s="17" t="n"/>
      <c r="B336" s="21" t="n"/>
      <c r="C336" s="17" t="n"/>
      <c r="D336" s="17" t="n"/>
      <c r="E336" s="17" t="n"/>
      <c r="F336" s="17" t="n"/>
      <c r="G336" s="17" t="n"/>
      <c r="H336" s="17" t="n"/>
      <c r="I336" s="18" t="n"/>
      <c r="J336" s="21" t="n"/>
      <c r="K336" s="17" t="n"/>
    </row>
    <row r="337">
      <c r="A337" s="17" t="n"/>
      <c r="B337" s="21" t="n"/>
      <c r="C337" s="17" t="n"/>
      <c r="D337" s="17" t="n"/>
      <c r="E337" s="17" t="n"/>
      <c r="F337" s="17" t="n"/>
      <c r="G337" s="17" t="n"/>
      <c r="H337" s="17" t="n"/>
      <c r="I337" s="18" t="n"/>
      <c r="J337" s="21" t="n"/>
      <c r="K337" s="17" t="n"/>
    </row>
    <row r="338">
      <c r="A338" s="17" t="n"/>
      <c r="B338" s="21" t="n"/>
      <c r="C338" s="17" t="n"/>
      <c r="D338" s="17" t="n"/>
      <c r="E338" s="17" t="n"/>
      <c r="F338" s="17" t="n"/>
      <c r="G338" s="17" t="n"/>
      <c r="H338" s="17" t="n"/>
      <c r="I338" s="18" t="n"/>
      <c r="J338" s="21" t="n"/>
      <c r="K338" s="17" t="n"/>
    </row>
    <row r="339">
      <c r="A339" s="17" t="n"/>
      <c r="B339" s="21" t="n"/>
      <c r="C339" s="17" t="n"/>
      <c r="D339" s="17" t="n"/>
      <c r="E339" s="17" t="n"/>
      <c r="F339" s="17" t="n"/>
      <c r="G339" s="17" t="n"/>
      <c r="H339" s="17" t="n"/>
      <c r="I339" s="18" t="n"/>
      <c r="J339" s="21" t="n"/>
      <c r="K339" s="17" t="n"/>
    </row>
    <row r="340">
      <c r="A340" s="17" t="n"/>
      <c r="B340" s="21" t="n"/>
      <c r="C340" s="17" t="n"/>
      <c r="D340" s="17" t="n"/>
      <c r="E340" s="17" t="n"/>
      <c r="F340" s="17" t="n"/>
      <c r="G340" s="17" t="n"/>
      <c r="H340" s="17" t="n"/>
      <c r="I340" s="18" t="n"/>
      <c r="J340" s="21" t="n"/>
      <c r="K340" s="17" t="n"/>
    </row>
    <row r="341">
      <c r="A341" s="17" t="n"/>
      <c r="B341" s="21" t="n"/>
      <c r="C341" s="17" t="n"/>
      <c r="D341" s="17" t="n"/>
      <c r="E341" s="17" t="n"/>
      <c r="F341" s="17" t="n"/>
      <c r="G341" s="17" t="n"/>
      <c r="H341" s="17" t="n"/>
      <c r="I341" s="18" t="n"/>
      <c r="J341" s="21" t="n"/>
      <c r="K341" s="17" t="n"/>
    </row>
    <row r="342">
      <c r="A342" s="17" t="n"/>
      <c r="B342" s="21" t="n"/>
      <c r="C342" s="17" t="n"/>
      <c r="D342" s="17" t="n"/>
      <c r="E342" s="17" t="n"/>
      <c r="F342" s="17" t="n"/>
      <c r="G342" s="17" t="n"/>
      <c r="H342" s="17" t="n"/>
      <c r="I342" s="18" t="n"/>
      <c r="J342" s="21" t="n"/>
      <c r="K342" s="17" t="n"/>
    </row>
    <row r="343">
      <c r="A343" s="17" t="n"/>
      <c r="B343" s="21" t="n"/>
      <c r="C343" s="17" t="n"/>
      <c r="D343" s="17" t="n"/>
      <c r="E343" s="17" t="n"/>
      <c r="F343" s="17" t="n"/>
      <c r="G343" s="17" t="n"/>
      <c r="H343" s="17" t="n"/>
      <c r="I343" s="18" t="n"/>
      <c r="J343" s="21" t="n"/>
      <c r="K343" s="17" t="n"/>
    </row>
    <row r="344">
      <c r="A344" s="17" t="n"/>
      <c r="B344" s="21" t="n"/>
      <c r="C344" s="17" t="n"/>
      <c r="D344" s="17" t="n"/>
      <c r="E344" s="17" t="n"/>
      <c r="F344" s="17" t="n"/>
      <c r="G344" s="17" t="n"/>
      <c r="H344" s="17" t="n"/>
      <c r="I344" s="18" t="n"/>
      <c r="J344" s="21" t="n"/>
      <c r="K344" s="17" t="n"/>
    </row>
    <row r="345">
      <c r="A345" s="17" t="n"/>
      <c r="B345" s="21" t="n"/>
      <c r="C345" s="17" t="n"/>
      <c r="D345" s="17" t="n"/>
      <c r="E345" s="17" t="n"/>
      <c r="F345" s="17" t="n"/>
      <c r="G345" s="17" t="n"/>
      <c r="H345" s="17" t="n"/>
      <c r="I345" s="18" t="n"/>
      <c r="J345" s="21" t="n"/>
      <c r="K345" s="17" t="n"/>
    </row>
    <row r="346">
      <c r="A346" s="17" t="n"/>
      <c r="B346" s="21" t="n"/>
      <c r="C346" s="17" t="n"/>
      <c r="D346" s="17" t="n"/>
      <c r="E346" s="17" t="n"/>
      <c r="F346" s="17" t="n"/>
      <c r="G346" s="17" t="n"/>
      <c r="H346" s="17" t="n"/>
      <c r="I346" s="18" t="n"/>
      <c r="J346" s="21" t="n"/>
      <c r="K346" s="17" t="n"/>
    </row>
    <row r="347">
      <c r="A347" s="17" t="n"/>
      <c r="B347" s="21" t="n"/>
      <c r="C347" s="17" t="n"/>
      <c r="D347" s="17" t="n"/>
      <c r="E347" s="17" t="n"/>
      <c r="F347" s="17" t="n"/>
      <c r="G347" s="17" t="n"/>
      <c r="H347" s="17" t="n"/>
      <c r="I347" s="18" t="n"/>
      <c r="J347" s="21" t="n"/>
      <c r="K347" s="17" t="n"/>
    </row>
    <row r="348">
      <c r="A348" s="17" t="n"/>
      <c r="B348" s="21" t="n"/>
      <c r="C348" s="17" t="n"/>
      <c r="D348" s="17" t="n"/>
      <c r="E348" s="17" t="n"/>
      <c r="F348" s="17" t="n"/>
      <c r="G348" s="17" t="n"/>
      <c r="H348" s="17" t="n"/>
      <c r="I348" s="18" t="n"/>
      <c r="J348" s="21" t="n"/>
      <c r="K348" s="17" t="n"/>
    </row>
    <row r="349">
      <c r="A349" s="17" t="n"/>
      <c r="B349" s="21" t="n"/>
      <c r="C349" s="17" t="n"/>
      <c r="D349" s="17" t="n"/>
      <c r="E349" s="17" t="n"/>
      <c r="F349" s="17" t="n"/>
      <c r="G349" s="17" t="n"/>
      <c r="H349" s="17" t="n"/>
      <c r="I349" s="18" t="n"/>
      <c r="J349" s="21" t="n"/>
      <c r="K349" s="17" t="n"/>
    </row>
    <row r="350">
      <c r="A350" s="17" t="n"/>
      <c r="B350" s="21" t="n"/>
      <c r="C350" s="17" t="n"/>
      <c r="D350" s="17" t="n"/>
      <c r="E350" s="17" t="n"/>
      <c r="F350" s="17" t="n"/>
      <c r="G350" s="17" t="n"/>
      <c r="H350" s="17" t="n"/>
      <c r="I350" s="18" t="n"/>
      <c r="J350" s="21" t="n"/>
      <c r="K350" s="17" t="n"/>
    </row>
    <row r="351">
      <c r="A351" s="17" t="n"/>
      <c r="B351" s="21" t="n"/>
      <c r="C351" s="17" t="n"/>
      <c r="D351" s="17" t="n"/>
      <c r="E351" s="17" t="n"/>
      <c r="F351" s="17" t="n"/>
      <c r="G351" s="17" t="n"/>
      <c r="H351" s="17" t="n"/>
      <c r="I351" s="18" t="n"/>
      <c r="J351" s="21" t="n"/>
      <c r="K351" s="17" t="n"/>
    </row>
    <row r="352">
      <c r="A352" s="17" t="n"/>
      <c r="B352" s="21" t="n"/>
      <c r="C352" s="17" t="n"/>
      <c r="D352" s="17" t="n"/>
      <c r="E352" s="17" t="n"/>
      <c r="F352" s="17" t="n"/>
      <c r="G352" s="17" t="n"/>
      <c r="H352" s="17" t="n"/>
      <c r="I352" s="18" t="n"/>
      <c r="J352" s="21" t="n"/>
      <c r="K352" s="17" t="n"/>
    </row>
    <row r="353">
      <c r="A353" s="17" t="n"/>
      <c r="B353" s="21" t="n"/>
      <c r="C353" s="17" t="n"/>
      <c r="D353" s="17" t="n"/>
      <c r="E353" s="17" t="n"/>
      <c r="F353" s="17" t="n"/>
      <c r="G353" s="17" t="n"/>
      <c r="H353" s="17" t="n"/>
      <c r="I353" s="18" t="n"/>
      <c r="J353" s="21" t="n"/>
      <c r="K353" s="17" t="n"/>
    </row>
    <row r="354">
      <c r="A354" s="17" t="n"/>
      <c r="B354" s="21" t="n"/>
      <c r="C354" s="17" t="n"/>
      <c r="D354" s="17" t="n"/>
      <c r="E354" s="17" t="n"/>
      <c r="F354" s="17" t="n"/>
      <c r="G354" s="17" t="n"/>
      <c r="H354" s="17" t="n"/>
      <c r="I354" s="18" t="n"/>
      <c r="J354" s="21" t="n"/>
      <c r="K354" s="17" t="n"/>
    </row>
    <row r="355">
      <c r="A355" s="17" t="n"/>
      <c r="B355" s="21" t="n"/>
      <c r="C355" s="17" t="n"/>
      <c r="D355" s="17" t="n"/>
      <c r="E355" s="17" t="n"/>
      <c r="F355" s="17" t="n"/>
      <c r="G355" s="17" t="n"/>
      <c r="H355" s="17" t="n"/>
      <c r="I355" s="18" t="n"/>
      <c r="J355" s="21" t="n"/>
      <c r="K355" s="17" t="n"/>
    </row>
    <row r="356">
      <c r="A356" s="17" t="n"/>
      <c r="B356" s="21" t="n"/>
      <c r="C356" s="17" t="n"/>
      <c r="D356" s="17" t="n"/>
      <c r="E356" s="17" t="n"/>
      <c r="F356" s="17" t="n"/>
      <c r="G356" s="17" t="n"/>
      <c r="H356" s="17" t="n"/>
      <c r="I356" s="18" t="n"/>
      <c r="J356" s="21" t="n"/>
      <c r="K356" s="17" t="n"/>
    </row>
    <row r="357">
      <c r="A357" s="17" t="n"/>
      <c r="B357" s="21" t="n"/>
      <c r="C357" s="17" t="n"/>
      <c r="D357" s="17" t="n"/>
      <c r="E357" s="17" t="n"/>
      <c r="F357" s="17" t="n"/>
      <c r="G357" s="17" t="n"/>
      <c r="H357" s="17" t="n"/>
      <c r="I357" s="18" t="n"/>
      <c r="J357" s="21" t="n"/>
      <c r="K357" s="17" t="n"/>
    </row>
    <row r="358">
      <c r="A358" s="17" t="n"/>
      <c r="B358" s="21" t="n"/>
      <c r="C358" s="17" t="n"/>
      <c r="D358" s="17" t="n"/>
      <c r="E358" s="17" t="n"/>
      <c r="F358" s="17" t="n"/>
      <c r="G358" s="17" t="n"/>
      <c r="H358" s="17" t="n"/>
      <c r="I358" s="18" t="n"/>
      <c r="J358" s="21" t="n"/>
      <c r="K358" s="17" t="n"/>
    </row>
    <row r="359">
      <c r="A359" s="17" t="n"/>
      <c r="B359" s="21" t="n"/>
      <c r="C359" s="17" t="n"/>
      <c r="D359" s="17" t="n"/>
      <c r="E359" s="17" t="n"/>
      <c r="F359" s="17" t="n"/>
      <c r="G359" s="17" t="n"/>
      <c r="H359" s="17" t="n"/>
      <c r="I359" s="18" t="n"/>
      <c r="J359" s="21" t="n"/>
      <c r="K359" s="17" t="n"/>
    </row>
    <row r="360">
      <c r="A360" s="17" t="n"/>
      <c r="B360" s="21" t="n"/>
      <c r="C360" s="17" t="n"/>
      <c r="D360" s="17" t="n"/>
      <c r="E360" s="17" t="n"/>
      <c r="F360" s="17" t="n"/>
      <c r="G360" s="17" t="n"/>
      <c r="H360" s="17" t="n"/>
      <c r="I360" s="18" t="n"/>
      <c r="J360" s="21" t="n"/>
      <c r="K360" s="17" t="n"/>
    </row>
    <row r="361">
      <c r="A361" s="17" t="n"/>
      <c r="B361" s="21" t="n"/>
      <c r="C361" s="17" t="n"/>
      <c r="D361" s="17" t="n"/>
      <c r="E361" s="17" t="n"/>
      <c r="F361" s="17" t="n"/>
      <c r="G361" s="17" t="n"/>
      <c r="H361" s="17" t="n"/>
      <c r="I361" s="18" t="n"/>
      <c r="J361" s="21" t="n"/>
      <c r="K361" s="17" t="n"/>
    </row>
    <row r="362">
      <c r="A362" s="17" t="n"/>
      <c r="B362" s="21" t="n"/>
      <c r="C362" s="17" t="n"/>
      <c r="D362" s="17" t="n"/>
      <c r="E362" s="17" t="n"/>
      <c r="F362" s="17" t="n"/>
      <c r="G362" s="17" t="n"/>
      <c r="H362" s="17" t="n"/>
      <c r="I362" s="18" t="n"/>
      <c r="J362" s="21" t="n"/>
      <c r="K362" s="17" t="n"/>
    </row>
    <row r="363">
      <c r="A363" s="17" t="n"/>
      <c r="B363" s="21" t="n"/>
      <c r="C363" s="17" t="n"/>
      <c r="D363" s="17" t="n"/>
      <c r="E363" s="17" t="n"/>
      <c r="F363" s="17" t="n"/>
      <c r="G363" s="17" t="n"/>
      <c r="H363" s="17" t="n"/>
      <c r="I363" s="18" t="n"/>
      <c r="J363" s="21" t="n"/>
      <c r="K363" s="17" t="n"/>
    </row>
    <row r="364">
      <c r="A364" s="17" t="n"/>
      <c r="B364" s="21" t="n"/>
      <c r="C364" s="17" t="n"/>
      <c r="D364" s="17" t="n"/>
      <c r="E364" s="17" t="n"/>
      <c r="F364" s="17" t="n"/>
      <c r="G364" s="17" t="n"/>
      <c r="H364" s="17" t="n"/>
      <c r="I364" s="18" t="n"/>
      <c r="J364" s="21" t="n"/>
      <c r="K364" s="17" t="n"/>
    </row>
    <row r="365">
      <c r="A365" s="17" t="n"/>
      <c r="B365" s="21" t="n"/>
      <c r="C365" s="17" t="n"/>
      <c r="D365" s="17" t="n"/>
      <c r="E365" s="17" t="n"/>
      <c r="F365" s="17" t="n"/>
      <c r="G365" s="17" t="n"/>
      <c r="H365" s="17" t="n"/>
      <c r="I365" s="18" t="n"/>
      <c r="J365" s="21" t="n"/>
      <c r="K365" s="17" t="n"/>
    </row>
    <row r="366">
      <c r="A366" s="17" t="n"/>
      <c r="B366" s="21" t="n"/>
      <c r="C366" s="17" t="n"/>
      <c r="D366" s="17" t="n"/>
      <c r="E366" s="17" t="n"/>
      <c r="F366" s="17" t="n"/>
      <c r="G366" s="17" t="n"/>
      <c r="H366" s="17" t="n"/>
      <c r="I366" s="18" t="n"/>
      <c r="J366" s="21" t="n"/>
      <c r="K366" s="17" t="n"/>
    </row>
    <row r="367">
      <c r="A367" s="17" t="n"/>
      <c r="B367" s="21" t="n"/>
      <c r="C367" s="17" t="n"/>
      <c r="D367" s="17" t="n"/>
      <c r="E367" s="17" t="n"/>
      <c r="F367" s="17" t="n"/>
      <c r="G367" s="17" t="n"/>
      <c r="H367" s="17" t="n"/>
      <c r="I367" s="18" t="n"/>
      <c r="J367" s="21" t="n"/>
      <c r="K367" s="17" t="n"/>
    </row>
    <row r="368">
      <c r="A368" s="17" t="n"/>
      <c r="B368" s="21" t="n"/>
      <c r="C368" s="17" t="n"/>
      <c r="D368" s="17" t="n"/>
      <c r="E368" s="17" t="n"/>
      <c r="F368" s="17" t="n"/>
      <c r="G368" s="17" t="n"/>
      <c r="H368" s="17" t="n"/>
      <c r="I368" s="18" t="n"/>
      <c r="J368" s="21" t="n"/>
      <c r="K368" s="17" t="n"/>
    </row>
    <row r="369">
      <c r="A369" s="17" t="n"/>
      <c r="B369" s="21" t="n"/>
      <c r="C369" s="17" t="n"/>
      <c r="D369" s="17" t="n"/>
      <c r="E369" s="17" t="n"/>
      <c r="F369" s="17" t="n"/>
      <c r="G369" s="17" t="n"/>
      <c r="H369" s="17" t="n"/>
      <c r="I369" s="18" t="n"/>
      <c r="J369" s="21" t="n"/>
      <c r="K369" s="17" t="n"/>
    </row>
    <row r="370">
      <c r="A370" s="17" t="n"/>
      <c r="B370" s="21" t="n"/>
      <c r="C370" s="17" t="n"/>
      <c r="D370" s="17" t="n"/>
      <c r="E370" s="17" t="n"/>
      <c r="F370" s="17" t="n"/>
      <c r="G370" s="17" t="n"/>
      <c r="H370" s="17" t="n"/>
      <c r="I370" s="18" t="n"/>
      <c r="J370" s="21" t="n"/>
      <c r="K370" s="17" t="n"/>
    </row>
    <row r="371">
      <c r="A371" s="17" t="n"/>
      <c r="B371" s="21" t="n"/>
      <c r="C371" s="17" t="n"/>
      <c r="D371" s="17" t="n"/>
      <c r="E371" s="17" t="n"/>
      <c r="F371" s="17" t="n"/>
      <c r="G371" s="17" t="n"/>
      <c r="H371" s="17" t="n"/>
      <c r="I371" s="18" t="n"/>
      <c r="J371" s="21" t="n"/>
      <c r="K371" s="17" t="n"/>
    </row>
    <row r="372">
      <c r="A372" s="17" t="n"/>
      <c r="B372" s="21" t="n"/>
      <c r="C372" s="17" t="n"/>
      <c r="D372" s="17" t="n"/>
      <c r="E372" s="17" t="n"/>
      <c r="F372" s="17" t="n"/>
      <c r="G372" s="17" t="n"/>
      <c r="H372" s="17" t="n"/>
      <c r="I372" s="18" t="n"/>
      <c r="J372" s="21" t="n"/>
      <c r="K372" s="17" t="n"/>
    </row>
    <row r="373">
      <c r="A373" s="17" t="n"/>
      <c r="B373" s="21" t="n"/>
      <c r="C373" s="17" t="n"/>
      <c r="D373" s="17" t="n"/>
      <c r="E373" s="17" t="n"/>
      <c r="F373" s="17" t="n"/>
      <c r="G373" s="17" t="n"/>
      <c r="H373" s="17" t="n"/>
      <c r="I373" s="18" t="n"/>
      <c r="J373" s="21" t="n"/>
      <c r="K373" s="17" t="n"/>
    </row>
    <row r="374">
      <c r="A374" s="17" t="n"/>
      <c r="B374" s="21" t="n"/>
      <c r="C374" s="17" t="n"/>
      <c r="D374" s="17" t="n"/>
      <c r="E374" s="17" t="n"/>
      <c r="F374" s="17" t="n"/>
      <c r="G374" s="17" t="n"/>
      <c r="H374" s="17" t="n"/>
      <c r="I374" s="18" t="n"/>
      <c r="J374" s="21" t="n"/>
      <c r="K374" s="17" t="n"/>
    </row>
    <row r="375">
      <c r="A375" s="17" t="n"/>
      <c r="B375" s="21" t="n"/>
      <c r="C375" s="17" t="n"/>
      <c r="D375" s="17" t="n"/>
      <c r="E375" s="17" t="n"/>
      <c r="F375" s="17" t="n"/>
      <c r="G375" s="17" t="n"/>
      <c r="H375" s="17" t="n"/>
      <c r="I375" s="18" t="n"/>
      <c r="J375" s="21" t="n"/>
      <c r="K375" s="17" t="n"/>
    </row>
    <row r="376">
      <c r="A376" s="17" t="n"/>
      <c r="B376" s="21" t="n"/>
      <c r="C376" s="17" t="n"/>
      <c r="D376" s="17" t="n"/>
      <c r="E376" s="17" t="n"/>
      <c r="F376" s="17" t="n"/>
      <c r="G376" s="17" t="n"/>
      <c r="H376" s="17" t="n"/>
      <c r="I376" s="18" t="n"/>
      <c r="J376" s="21" t="n"/>
      <c r="K376" s="17" t="n"/>
    </row>
    <row r="377">
      <c r="A377" s="17" t="n"/>
      <c r="B377" s="21" t="n"/>
      <c r="C377" s="17" t="n"/>
      <c r="D377" s="17" t="n"/>
      <c r="E377" s="17" t="n"/>
      <c r="F377" s="17" t="n"/>
      <c r="G377" s="17" t="n"/>
      <c r="H377" s="17" t="n"/>
      <c r="I377" s="18" t="n"/>
      <c r="J377" s="21" t="n"/>
      <c r="K377" s="17" t="n"/>
    </row>
    <row r="378">
      <c r="A378" s="17" t="n"/>
      <c r="B378" s="21" t="n"/>
      <c r="C378" s="17" t="n"/>
      <c r="D378" s="17" t="n"/>
      <c r="E378" s="17" t="n"/>
      <c r="F378" s="17" t="n"/>
      <c r="G378" s="17" t="n"/>
      <c r="H378" s="17" t="n"/>
      <c r="I378" s="18" t="n"/>
      <c r="J378" s="21" t="n"/>
      <c r="K378" s="17" t="n"/>
    </row>
    <row r="379">
      <c r="A379" s="17" t="n"/>
      <c r="B379" s="21" t="n"/>
      <c r="C379" s="17" t="n"/>
      <c r="D379" s="17" t="n"/>
      <c r="E379" s="17" t="n"/>
      <c r="F379" s="17" t="n"/>
      <c r="G379" s="17" t="n"/>
      <c r="H379" s="17" t="n"/>
      <c r="I379" s="18" t="n"/>
      <c r="J379" s="21" t="n"/>
      <c r="K379" s="17" t="n"/>
    </row>
    <row r="380">
      <c r="A380" s="17" t="n"/>
      <c r="B380" s="21" t="n"/>
      <c r="C380" s="17" t="n"/>
      <c r="D380" s="17" t="n"/>
      <c r="E380" s="17" t="n"/>
      <c r="F380" s="17" t="n"/>
      <c r="G380" s="17" t="n"/>
      <c r="H380" s="17" t="n"/>
      <c r="I380" s="18" t="n"/>
      <c r="J380" s="21" t="n"/>
      <c r="K380" s="17" t="n"/>
    </row>
    <row r="381">
      <c r="A381" s="17" t="n"/>
      <c r="B381" s="21" t="n"/>
      <c r="C381" s="17" t="n"/>
      <c r="D381" s="17" t="n"/>
      <c r="E381" s="17" t="n"/>
      <c r="F381" s="17" t="n"/>
      <c r="G381" s="17" t="n"/>
      <c r="H381" s="17" t="n"/>
      <c r="I381" s="18" t="n"/>
      <c r="J381" s="21" t="n"/>
      <c r="K381" s="17" t="n"/>
    </row>
    <row r="382">
      <c r="A382" s="17" t="n"/>
      <c r="B382" s="21" t="n"/>
      <c r="C382" s="17" t="n"/>
      <c r="D382" s="17" t="n"/>
      <c r="E382" s="17" t="n"/>
      <c r="F382" s="17" t="n"/>
      <c r="G382" s="17" t="n"/>
      <c r="H382" s="17" t="n"/>
      <c r="I382" s="18" t="n"/>
      <c r="J382" s="21" t="n"/>
      <c r="K382" s="17" t="n"/>
    </row>
    <row r="383">
      <c r="A383" s="17" t="n"/>
      <c r="B383" s="21" t="n"/>
      <c r="C383" s="17" t="n"/>
      <c r="D383" s="17" t="n"/>
      <c r="E383" s="17" t="n"/>
      <c r="F383" s="17" t="n"/>
      <c r="G383" s="17" t="n"/>
      <c r="H383" s="17" t="n"/>
      <c r="I383" s="18" t="n"/>
      <c r="J383" s="21" t="n"/>
      <c r="K383" s="17" t="n"/>
    </row>
    <row r="384">
      <c r="A384" s="17" t="n"/>
      <c r="B384" s="21" t="n"/>
      <c r="C384" s="17" t="n"/>
      <c r="D384" s="17" t="n"/>
      <c r="E384" s="17" t="n"/>
      <c r="F384" s="17" t="n"/>
      <c r="G384" s="17" t="n"/>
      <c r="H384" s="17" t="n"/>
      <c r="I384" s="18" t="n"/>
      <c r="J384" s="21" t="n"/>
      <c r="K384" s="17" t="n"/>
    </row>
    <row r="385">
      <c r="A385" s="17" t="n"/>
      <c r="B385" s="21" t="n"/>
      <c r="C385" s="17" t="n"/>
      <c r="D385" s="17" t="n"/>
      <c r="E385" s="17" t="n"/>
      <c r="F385" s="17" t="n"/>
      <c r="G385" s="17" t="n"/>
      <c r="H385" s="17" t="n"/>
      <c r="I385" s="18" t="n"/>
      <c r="J385" s="21" t="n"/>
      <c r="K385" s="17" t="n"/>
    </row>
    <row r="386">
      <c r="A386" s="17" t="n"/>
      <c r="B386" s="21" t="n"/>
      <c r="C386" s="17" t="n"/>
      <c r="D386" s="17" t="n"/>
      <c r="E386" s="17" t="n"/>
      <c r="F386" s="17" t="n"/>
      <c r="G386" s="17" t="n"/>
      <c r="H386" s="17" t="n"/>
      <c r="I386" s="18" t="n"/>
      <c r="J386" s="21" t="n"/>
      <c r="K386" s="17" t="n"/>
    </row>
    <row r="387">
      <c r="A387" s="17" t="n"/>
      <c r="B387" s="21" t="n"/>
      <c r="C387" s="17" t="n"/>
      <c r="D387" s="17" t="n"/>
      <c r="E387" s="17" t="n"/>
      <c r="F387" s="17" t="n"/>
      <c r="G387" s="17" t="n"/>
      <c r="H387" s="17" t="n"/>
      <c r="I387" s="18" t="n"/>
      <c r="J387" s="21" t="n"/>
      <c r="K387" s="17" t="n"/>
    </row>
    <row r="388">
      <c r="A388" s="17" t="n"/>
      <c r="B388" s="21" t="n"/>
      <c r="C388" s="17" t="n"/>
      <c r="D388" s="17" t="n"/>
      <c r="E388" s="17" t="n"/>
      <c r="F388" s="17" t="n"/>
      <c r="G388" s="17" t="n"/>
      <c r="H388" s="17" t="n"/>
      <c r="I388" s="18" t="n"/>
      <c r="J388" s="21" t="n"/>
      <c r="K388" s="17" t="n"/>
    </row>
    <row r="389">
      <c r="A389" s="17" t="n"/>
      <c r="B389" s="21" t="n"/>
      <c r="C389" s="17" t="n"/>
      <c r="D389" s="17" t="n"/>
      <c r="E389" s="17" t="n"/>
      <c r="F389" s="17" t="n"/>
      <c r="G389" s="17" t="n"/>
      <c r="H389" s="17" t="n"/>
      <c r="I389" s="18" t="n"/>
      <c r="J389" s="21" t="n"/>
      <c r="K389" s="17" t="n"/>
    </row>
    <row r="390">
      <c r="A390" s="17" t="n"/>
      <c r="B390" s="21" t="n"/>
      <c r="C390" s="17" t="n"/>
      <c r="D390" s="17" t="n"/>
      <c r="E390" s="17" t="n"/>
      <c r="F390" s="17" t="n"/>
      <c r="G390" s="17" t="n"/>
      <c r="H390" s="17" t="n"/>
      <c r="I390" s="18" t="n"/>
      <c r="J390" s="21" t="n"/>
      <c r="K390" s="17" t="n"/>
    </row>
    <row r="391">
      <c r="A391" s="17" t="n"/>
      <c r="B391" s="21" t="n"/>
      <c r="C391" s="17" t="n"/>
      <c r="D391" s="17" t="n"/>
      <c r="E391" s="17" t="n"/>
      <c r="F391" s="17" t="n"/>
      <c r="G391" s="17" t="n"/>
      <c r="H391" s="17" t="n"/>
      <c r="I391" s="18" t="n"/>
      <c r="J391" s="21" t="n"/>
      <c r="K391" s="17" t="n"/>
    </row>
    <row r="392">
      <c r="A392" s="17" t="n"/>
      <c r="B392" s="21" t="n"/>
      <c r="C392" s="17" t="n"/>
      <c r="D392" s="17" t="n"/>
      <c r="E392" s="17" t="n"/>
      <c r="F392" s="17" t="n"/>
      <c r="G392" s="17" t="n"/>
      <c r="H392" s="17" t="n"/>
      <c r="I392" s="18" t="n"/>
      <c r="J392" s="21" t="n"/>
      <c r="K392" s="17" t="n"/>
    </row>
    <row r="393">
      <c r="A393" s="17" t="n"/>
      <c r="B393" s="21" t="n"/>
      <c r="C393" s="17" t="n"/>
      <c r="D393" s="17" t="n"/>
      <c r="E393" s="17" t="n"/>
      <c r="F393" s="17" t="n"/>
      <c r="G393" s="17" t="n"/>
      <c r="H393" s="17" t="n"/>
      <c r="I393" s="18" t="n"/>
      <c r="J393" s="21" t="n"/>
      <c r="K393" s="17" t="n"/>
    </row>
    <row r="394">
      <c r="A394" s="17" t="n"/>
      <c r="B394" s="21" t="n"/>
      <c r="C394" s="17" t="n"/>
      <c r="D394" s="17" t="n"/>
      <c r="E394" s="17" t="n"/>
      <c r="F394" s="17" t="n"/>
      <c r="G394" s="17" t="n"/>
      <c r="H394" s="17" t="n"/>
      <c r="I394" s="18" t="n"/>
      <c r="J394" s="21" t="n"/>
      <c r="K394" s="17" t="n"/>
    </row>
    <row r="395">
      <c r="A395" s="17" t="n"/>
      <c r="B395" s="21" t="n"/>
      <c r="C395" s="17" t="n"/>
      <c r="D395" s="17" t="n"/>
      <c r="E395" s="17" t="n"/>
      <c r="F395" s="17" t="n"/>
      <c r="G395" s="17" t="n"/>
      <c r="H395" s="17" t="n"/>
      <c r="I395" s="18" t="n"/>
      <c r="J395" s="21" t="n"/>
      <c r="K395" s="17" t="n"/>
    </row>
    <row r="396">
      <c r="A396" s="17" t="n"/>
      <c r="B396" s="21" t="n"/>
      <c r="C396" s="17" t="n"/>
      <c r="D396" s="17" t="n"/>
      <c r="E396" s="17" t="n"/>
      <c r="F396" s="17" t="n"/>
      <c r="G396" s="17" t="n"/>
      <c r="H396" s="17" t="n"/>
      <c r="I396" s="18" t="n"/>
      <c r="J396" s="21" t="n"/>
      <c r="K396" s="17" t="n"/>
    </row>
    <row r="397">
      <c r="A397" s="17" t="n"/>
      <c r="B397" s="21" t="n"/>
      <c r="C397" s="17" t="n"/>
      <c r="D397" s="17" t="n"/>
      <c r="E397" s="17" t="n"/>
      <c r="F397" s="17" t="n"/>
      <c r="G397" s="17" t="n"/>
      <c r="H397" s="17" t="n"/>
      <c r="I397" s="18" t="n"/>
      <c r="J397" s="21" t="n"/>
      <c r="K397" s="17" t="n"/>
    </row>
    <row r="398">
      <c r="A398" s="17" t="n"/>
      <c r="B398" s="21" t="n"/>
      <c r="C398" s="17" t="n"/>
      <c r="D398" s="17" t="n"/>
      <c r="E398" s="17" t="n"/>
      <c r="F398" s="17" t="n"/>
      <c r="G398" s="17" t="n"/>
      <c r="H398" s="17" t="n"/>
      <c r="I398" s="18" t="n"/>
      <c r="J398" s="21" t="n"/>
      <c r="K398" s="17" t="n"/>
    </row>
    <row r="399">
      <c r="A399" s="17" t="n"/>
      <c r="B399" s="21" t="n"/>
      <c r="C399" s="17" t="n"/>
      <c r="D399" s="17" t="n"/>
      <c r="E399" s="17" t="n"/>
      <c r="F399" s="17" t="n"/>
      <c r="G399" s="17" t="n"/>
      <c r="H399" s="17" t="n"/>
      <c r="I399" s="18" t="n"/>
      <c r="J399" s="21" t="n"/>
      <c r="K399" s="17" t="n"/>
    </row>
    <row r="400">
      <c r="A400" s="17" t="n"/>
      <c r="B400" s="21" t="n"/>
      <c r="C400" s="17" t="n"/>
      <c r="D400" s="17" t="n"/>
      <c r="E400" s="17" t="n"/>
      <c r="F400" s="17" t="n"/>
      <c r="G400" s="17" t="n"/>
      <c r="H400" s="17" t="n"/>
      <c r="I400" s="18" t="n"/>
      <c r="J400" s="21" t="n"/>
      <c r="K400" s="17" t="n"/>
    </row>
    <row r="401">
      <c r="A401" s="17" t="n"/>
      <c r="B401" s="21" t="n"/>
      <c r="C401" s="17" t="n"/>
      <c r="D401" s="17" t="n"/>
      <c r="E401" s="17" t="n"/>
      <c r="F401" s="17" t="n"/>
      <c r="G401" s="17" t="n"/>
      <c r="H401" s="17" t="n"/>
      <c r="I401" s="18" t="n"/>
      <c r="J401" s="21" t="n"/>
      <c r="K401" s="17" t="n"/>
    </row>
    <row r="402">
      <c r="A402" s="17" t="n"/>
      <c r="B402" s="21" t="n"/>
      <c r="C402" s="17" t="n"/>
      <c r="D402" s="17" t="n"/>
      <c r="E402" s="17" t="n"/>
      <c r="F402" s="17" t="n"/>
      <c r="G402" s="17" t="n"/>
      <c r="H402" s="17" t="n"/>
      <c r="I402" s="18" t="n"/>
      <c r="J402" s="21" t="n"/>
      <c r="K402" s="17" t="n"/>
    </row>
    <row r="403">
      <c r="A403" s="17" t="n"/>
      <c r="B403" s="21" t="n"/>
      <c r="C403" s="17" t="n"/>
      <c r="D403" s="17" t="n"/>
      <c r="E403" s="17" t="n"/>
      <c r="F403" s="17" t="n"/>
      <c r="G403" s="17" t="n"/>
      <c r="H403" s="17" t="n"/>
      <c r="I403" s="18" t="n"/>
      <c r="J403" s="21" t="n"/>
      <c r="K403" s="17" t="n"/>
    </row>
    <row r="404">
      <c r="A404" s="17" t="n"/>
      <c r="B404" s="21" t="n"/>
      <c r="C404" s="17" t="n"/>
      <c r="D404" s="17" t="n"/>
      <c r="E404" s="17" t="n"/>
      <c r="F404" s="17" t="n"/>
      <c r="G404" s="17" t="n"/>
      <c r="H404" s="17" t="n"/>
      <c r="I404" s="18" t="n"/>
      <c r="J404" s="21" t="n"/>
      <c r="K404" s="17" t="n"/>
    </row>
    <row r="405">
      <c r="A405" s="17" t="n"/>
      <c r="B405" s="21" t="n"/>
      <c r="C405" s="17" t="n"/>
      <c r="D405" s="17" t="n"/>
      <c r="E405" s="17" t="n"/>
      <c r="F405" s="17" t="n"/>
      <c r="G405" s="17" t="n"/>
      <c r="H405" s="17" t="n"/>
      <c r="I405" s="18" t="n"/>
      <c r="J405" s="21" t="n"/>
      <c r="K405" s="17" t="n"/>
    </row>
  </sheetData>
  <mergeCells count="2">
    <mergeCell ref="A2:K2"/>
    <mergeCell ref="A1:K1"/>
  </mergeCells>
  <dataValidations count="3">
    <dataValidation sqref="E6:E405" showDropDown="0" showInputMessage="0" showErrorMessage="0" allowBlank="1" type="list">
      <formula1>=ActivityTypes</formula1>
    </dataValidation>
    <dataValidation sqref="F6:F405" showDropDown="0" showInputMessage="0" showErrorMessage="0" allowBlank="1" type="list">
      <formula1>=Channels</formula1>
    </dataValidation>
    <dataValidation sqref="H6:H40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5" customWidth="1" min="4" max="4"/>
    <col width="14" customWidth="1" min="5" max="5"/>
    <col width="11" customWidth="1" min="6" max="6"/>
    <col width="16" customWidth="1" min="7" max="7"/>
    <col width="16" customWidth="1" min="8" max="8"/>
    <col width="18" customWidth="1" min="9" max="9"/>
    <col width="15" customWidth="1" min="10" max="10"/>
    <col width="16" customWidth="1" min="11" max="11"/>
    <col width="10" customWidth="1" min="12" max="12"/>
    <col width="19" customWidth="1" min="13" max="13"/>
    <col width="20" customWidth="1" min="14" max="14"/>
    <col width="13" customWidth="1" min="15" max="15"/>
    <col width="16" customWidth="1" min="16" max="16"/>
    <col width="12" customWidth="1" min="17" max="17"/>
    <col width="14" customWidth="1" min="18" max="18"/>
    <col width="11" customWidth="1" min="19" max="19"/>
    <col width="44" customWidth="1" min="20" max="20"/>
  </cols>
  <sheetData>
    <row r="1" ht="34" customHeight="1">
      <c r="A1" s="1" t="inlineStr">
        <is>
          <t>Kepler Dev — Weekly Sales Scorecard</t>
        </is>
      </c>
    </row>
    <row r="2" ht="22" customHeight="1">
      <c r="A2" s="2" t="inlineStr">
        <is>
          <t>Review every week; change the strategy only after reading the underlying conversations</t>
        </is>
      </c>
    </row>
    <row r="4">
      <c r="A4" s="16" t="inlineStr">
        <is>
          <t>The first twelve weeks are preloaded. Activity metrics calculate automatically; enter the pipeline snapshot at the end of each week.</t>
        </is>
      </c>
    </row>
    <row r="5" ht="34" customHeight="1">
      <c r="A5" s="10" t="inlineStr">
        <is>
          <t>Week Start</t>
        </is>
      </c>
      <c r="B5" s="10" t="inlineStr">
        <is>
          <t>GCC Accounts</t>
        </is>
      </c>
      <c r="C5" s="10" t="inlineStr">
        <is>
          <t>Upwork Proposals</t>
        </is>
      </c>
      <c r="D5" s="10" t="inlineStr">
        <is>
          <t>GCC Outreach</t>
        </is>
      </c>
      <c r="E5" s="10" t="inlineStr">
        <is>
          <t>Warm Intros</t>
        </is>
      </c>
      <c r="F5" s="10" t="inlineStr">
        <is>
          <t>Replies</t>
        </is>
      </c>
      <c r="G5" s="10" t="inlineStr">
        <is>
          <t>Qualified Replies</t>
        </is>
      </c>
      <c r="H5" s="10" t="inlineStr">
        <is>
          <t>Calls Completed</t>
        </is>
      </c>
      <c r="I5" s="10" t="inlineStr">
        <is>
          <t>Blueprints Proposed</t>
        </is>
      </c>
      <c r="J5" s="10" t="inlineStr">
        <is>
          <t>Blueprints Sold</t>
        </is>
      </c>
      <c r="K5" s="10" t="inlineStr">
        <is>
          <t>Build Proposals</t>
        </is>
      </c>
      <c r="L5" s="10" t="inlineStr">
        <is>
          <t>Wins</t>
        </is>
      </c>
      <c r="M5" s="10" t="inlineStr">
        <is>
          <t>Collected Cash USD</t>
        </is>
      </c>
      <c r="N5" s="10" t="inlineStr">
        <is>
          <t>Pipeline Snapshot USD</t>
        </is>
      </c>
      <c r="O5" s="10" t="inlineStr">
        <is>
          <t>Reply Rate</t>
        </is>
      </c>
      <c r="P5" s="10" t="inlineStr">
        <is>
          <t>Qualification Rate</t>
        </is>
      </c>
      <c r="Q5" s="10" t="inlineStr">
        <is>
          <t>Call Rate</t>
        </is>
      </c>
      <c r="R5" s="10" t="inlineStr">
        <is>
          <t>Proposal Rate</t>
        </is>
      </c>
      <c r="S5" s="10" t="inlineStr">
        <is>
          <t>Win Rate</t>
        </is>
      </c>
      <c r="T5" s="10" t="inlineStr">
        <is>
          <t>Weekly Learning / Decision</t>
        </is>
      </c>
    </row>
    <row r="6">
      <c r="A6" s="21" t="n">
        <v>46244</v>
      </c>
      <c r="B6" s="17">
        <f>COUNTIFS(Leads!$B$6:$B$205,"&gt;="&amp;A6,Leads!$B$6:$B$205,"&lt;="&amp;A6+6,Leads!$H$6:$H$205,"GCC Direct")</f>
        <v/>
      </c>
      <c r="C6" s="17">
        <f>COUNTIFS(Activities!$B$6:$B$405,"&gt;="&amp;A6,Activities!$B$6:$B$405,"&lt;="&amp;A6+6,Activities!$E$6:$E$405,"Upwork Proposal")</f>
        <v/>
      </c>
      <c r="D6" s="17">
        <f>COUNTIFS(Activities!$B$6:$B$405,"&gt;="&amp;A6,Activities!$B$6:$B$405,"&lt;="&amp;A6+6,Activities!$E$6:$E$405,"GCC Outreach")</f>
        <v/>
      </c>
      <c r="E6" s="17">
        <f>COUNTIFS(Activities!$B$6:$B$405,"&gt;="&amp;A6,Activities!$B$6:$B$405,"&lt;="&amp;A6+6,Activities!$E$6:$E$405,"Warm Introduction Request")</f>
        <v/>
      </c>
      <c r="F6" s="17">
        <f>COUNTIFS(Activities!$B$6:$B$405,"&gt;="&amp;A6,Activities!$B$6:$B$405,"&lt;="&amp;A6+6,Activities!$E$6:$E$405,"Reply Received")</f>
        <v/>
      </c>
      <c r="G6" s="17">
        <f>COUNTIFS(Activities!$B$6:$B$405,"&gt;="&amp;A6,Activities!$B$6:$B$405,"&lt;="&amp;A6+6,Activities!$E$6:$E$405,"Reply Received",Activities!$H$6:$H$405,"Yes")</f>
        <v/>
      </c>
      <c r="H6" s="17">
        <f>COUNTIFS(Activities!$B$6:$B$405,"&gt;="&amp;A6,Activities!$B$6:$B$405,"&lt;="&amp;A6+6,Activities!$E$6:$E$405,"Discovery Call Completed")</f>
        <v/>
      </c>
      <c r="I6" s="17">
        <f>COUNTIFS(Activities!$B$6:$B$405,"&gt;="&amp;A6,Activities!$B$6:$B$405,"&lt;="&amp;A6+6,Activities!$E$6:$E$405,"Blueprint Proposed")</f>
        <v/>
      </c>
      <c r="J6" s="17">
        <f>COUNTIFS(Activities!$B$6:$B$405,"&gt;="&amp;A6,Activities!$B$6:$B$405,"&lt;="&amp;A6+6,Activities!$E$6:$E$405,"Blueprint Sold")</f>
        <v/>
      </c>
      <c r="K6" s="17">
        <f>COUNTIFS(Activities!$B$6:$B$405,"&gt;="&amp;A6,Activities!$B$6:$B$405,"&lt;="&amp;A6+6,Activities!$E$6:$E$405,"Build Proposal Sent")</f>
        <v/>
      </c>
      <c r="L6" s="17">
        <f>COUNTIFS(Activities!$B$6:$B$405,"&gt;="&amp;A6,Activities!$B$6:$B$405,"&lt;="&amp;A6+6,Activities!$E$6:$E$405,"Contract Won")</f>
        <v/>
      </c>
      <c r="M6" s="18">
        <f>SUMIFS(Activities!$I$6:$I$405,Activities!$B$6:$B$405,"&gt;="&amp;A6,Activities!$B$6:$B$405,"&lt;="&amp;A6+6,Activities!$E$6:$E$405,"Payment Collected")</f>
        <v/>
      </c>
      <c r="N6" s="24" t="n"/>
      <c r="O6" s="22">
        <f>IFERROR(F6/SUM(C6:E6),0)</f>
        <v/>
      </c>
      <c r="P6" s="22">
        <f>IFERROR(G6/F6,0)</f>
        <v/>
      </c>
      <c r="Q6" s="22">
        <f>IFERROR(H6/G6,0)</f>
        <v/>
      </c>
      <c r="R6" s="22">
        <f>IFERROR((I6+K6)/H6,0)</f>
        <v/>
      </c>
      <c r="S6" s="22">
        <f>IFERROR(L6/(I6+K6),0)</f>
        <v/>
      </c>
      <c r="T6" s="17" t="n"/>
    </row>
    <row r="7">
      <c r="A7" s="21" t="n">
        <v>46251</v>
      </c>
      <c r="B7" s="17">
        <f>COUNTIFS(Leads!$B$6:$B$205,"&gt;="&amp;A7,Leads!$B$6:$B$205,"&lt;="&amp;A7+6,Leads!$H$6:$H$205,"GCC Direct")</f>
        <v/>
      </c>
      <c r="C7" s="17">
        <f>COUNTIFS(Activities!$B$6:$B$405,"&gt;="&amp;A7,Activities!$B$6:$B$405,"&lt;="&amp;A7+6,Activities!$E$6:$E$405,"Upwork Proposal")</f>
        <v/>
      </c>
      <c r="D7" s="17">
        <f>COUNTIFS(Activities!$B$6:$B$405,"&gt;="&amp;A7,Activities!$B$6:$B$405,"&lt;="&amp;A7+6,Activities!$E$6:$E$405,"GCC Outreach")</f>
        <v/>
      </c>
      <c r="E7" s="17">
        <f>COUNTIFS(Activities!$B$6:$B$405,"&gt;="&amp;A7,Activities!$B$6:$B$405,"&lt;="&amp;A7+6,Activities!$E$6:$E$405,"Warm Introduction Request")</f>
        <v/>
      </c>
      <c r="F7" s="17">
        <f>COUNTIFS(Activities!$B$6:$B$405,"&gt;="&amp;A7,Activities!$B$6:$B$405,"&lt;="&amp;A7+6,Activities!$E$6:$E$405,"Reply Received")</f>
        <v/>
      </c>
      <c r="G7" s="17">
        <f>COUNTIFS(Activities!$B$6:$B$405,"&gt;="&amp;A7,Activities!$B$6:$B$405,"&lt;="&amp;A7+6,Activities!$E$6:$E$405,"Reply Received",Activities!$H$6:$H$405,"Yes")</f>
        <v/>
      </c>
      <c r="H7" s="17">
        <f>COUNTIFS(Activities!$B$6:$B$405,"&gt;="&amp;A7,Activities!$B$6:$B$405,"&lt;="&amp;A7+6,Activities!$E$6:$E$405,"Discovery Call Completed")</f>
        <v/>
      </c>
      <c r="I7" s="17">
        <f>COUNTIFS(Activities!$B$6:$B$405,"&gt;="&amp;A7,Activities!$B$6:$B$405,"&lt;="&amp;A7+6,Activities!$E$6:$E$405,"Blueprint Proposed")</f>
        <v/>
      </c>
      <c r="J7" s="17">
        <f>COUNTIFS(Activities!$B$6:$B$405,"&gt;="&amp;A7,Activities!$B$6:$B$405,"&lt;="&amp;A7+6,Activities!$E$6:$E$405,"Blueprint Sold")</f>
        <v/>
      </c>
      <c r="K7" s="17">
        <f>COUNTIFS(Activities!$B$6:$B$405,"&gt;="&amp;A7,Activities!$B$6:$B$405,"&lt;="&amp;A7+6,Activities!$E$6:$E$405,"Build Proposal Sent")</f>
        <v/>
      </c>
      <c r="L7" s="17">
        <f>COUNTIFS(Activities!$B$6:$B$405,"&gt;="&amp;A7,Activities!$B$6:$B$405,"&lt;="&amp;A7+6,Activities!$E$6:$E$405,"Contract Won")</f>
        <v/>
      </c>
      <c r="M7" s="18">
        <f>SUMIFS(Activities!$I$6:$I$405,Activities!$B$6:$B$405,"&gt;="&amp;A7,Activities!$B$6:$B$405,"&lt;="&amp;A7+6,Activities!$E$6:$E$405,"Payment Collected")</f>
        <v/>
      </c>
      <c r="N7" s="24" t="n"/>
      <c r="O7" s="22">
        <f>IFERROR(F7/SUM(C7:E7),0)</f>
        <v/>
      </c>
      <c r="P7" s="22">
        <f>IFERROR(G7/F7,0)</f>
        <v/>
      </c>
      <c r="Q7" s="22">
        <f>IFERROR(H7/G7,0)</f>
        <v/>
      </c>
      <c r="R7" s="22">
        <f>IFERROR((I7+K7)/H7,0)</f>
        <v/>
      </c>
      <c r="S7" s="22">
        <f>IFERROR(L7/(I7+K7),0)</f>
        <v/>
      </c>
      <c r="T7" s="17" t="n"/>
    </row>
    <row r="8">
      <c r="A8" s="21" t="n">
        <v>46258</v>
      </c>
      <c r="B8" s="17">
        <f>COUNTIFS(Leads!$B$6:$B$205,"&gt;="&amp;A8,Leads!$B$6:$B$205,"&lt;="&amp;A8+6,Leads!$H$6:$H$205,"GCC Direct")</f>
        <v/>
      </c>
      <c r="C8" s="17">
        <f>COUNTIFS(Activities!$B$6:$B$405,"&gt;="&amp;A8,Activities!$B$6:$B$405,"&lt;="&amp;A8+6,Activities!$E$6:$E$405,"Upwork Proposal")</f>
        <v/>
      </c>
      <c r="D8" s="17">
        <f>COUNTIFS(Activities!$B$6:$B$405,"&gt;="&amp;A8,Activities!$B$6:$B$405,"&lt;="&amp;A8+6,Activities!$E$6:$E$405,"GCC Outreach")</f>
        <v/>
      </c>
      <c r="E8" s="17">
        <f>COUNTIFS(Activities!$B$6:$B$405,"&gt;="&amp;A8,Activities!$B$6:$B$405,"&lt;="&amp;A8+6,Activities!$E$6:$E$405,"Warm Introduction Request")</f>
        <v/>
      </c>
      <c r="F8" s="17">
        <f>COUNTIFS(Activities!$B$6:$B$405,"&gt;="&amp;A8,Activities!$B$6:$B$405,"&lt;="&amp;A8+6,Activities!$E$6:$E$405,"Reply Received")</f>
        <v/>
      </c>
      <c r="G8" s="17">
        <f>COUNTIFS(Activities!$B$6:$B$405,"&gt;="&amp;A8,Activities!$B$6:$B$405,"&lt;="&amp;A8+6,Activities!$E$6:$E$405,"Reply Received",Activities!$H$6:$H$405,"Yes")</f>
        <v/>
      </c>
      <c r="H8" s="17">
        <f>COUNTIFS(Activities!$B$6:$B$405,"&gt;="&amp;A8,Activities!$B$6:$B$405,"&lt;="&amp;A8+6,Activities!$E$6:$E$405,"Discovery Call Completed")</f>
        <v/>
      </c>
      <c r="I8" s="17">
        <f>COUNTIFS(Activities!$B$6:$B$405,"&gt;="&amp;A8,Activities!$B$6:$B$405,"&lt;="&amp;A8+6,Activities!$E$6:$E$405,"Blueprint Proposed")</f>
        <v/>
      </c>
      <c r="J8" s="17">
        <f>COUNTIFS(Activities!$B$6:$B$405,"&gt;="&amp;A8,Activities!$B$6:$B$405,"&lt;="&amp;A8+6,Activities!$E$6:$E$405,"Blueprint Sold")</f>
        <v/>
      </c>
      <c r="K8" s="17">
        <f>COUNTIFS(Activities!$B$6:$B$405,"&gt;="&amp;A8,Activities!$B$6:$B$405,"&lt;="&amp;A8+6,Activities!$E$6:$E$405,"Build Proposal Sent")</f>
        <v/>
      </c>
      <c r="L8" s="17">
        <f>COUNTIFS(Activities!$B$6:$B$405,"&gt;="&amp;A8,Activities!$B$6:$B$405,"&lt;="&amp;A8+6,Activities!$E$6:$E$405,"Contract Won")</f>
        <v/>
      </c>
      <c r="M8" s="18">
        <f>SUMIFS(Activities!$I$6:$I$405,Activities!$B$6:$B$405,"&gt;="&amp;A8,Activities!$B$6:$B$405,"&lt;="&amp;A8+6,Activities!$E$6:$E$405,"Payment Collected")</f>
        <v/>
      </c>
      <c r="N8" s="24" t="n"/>
      <c r="O8" s="22">
        <f>IFERROR(F8/SUM(C8:E8),0)</f>
        <v/>
      </c>
      <c r="P8" s="22">
        <f>IFERROR(G8/F8,0)</f>
        <v/>
      </c>
      <c r="Q8" s="22">
        <f>IFERROR(H8/G8,0)</f>
        <v/>
      </c>
      <c r="R8" s="22">
        <f>IFERROR((I8+K8)/H8,0)</f>
        <v/>
      </c>
      <c r="S8" s="22">
        <f>IFERROR(L8/(I8+K8),0)</f>
        <v/>
      </c>
      <c r="T8" s="17" t="n"/>
    </row>
    <row r="9">
      <c r="A9" s="21" t="n">
        <v>46265</v>
      </c>
      <c r="B9" s="17">
        <f>COUNTIFS(Leads!$B$6:$B$205,"&gt;="&amp;A9,Leads!$B$6:$B$205,"&lt;="&amp;A9+6,Leads!$H$6:$H$205,"GCC Direct")</f>
        <v/>
      </c>
      <c r="C9" s="17">
        <f>COUNTIFS(Activities!$B$6:$B$405,"&gt;="&amp;A9,Activities!$B$6:$B$405,"&lt;="&amp;A9+6,Activities!$E$6:$E$405,"Upwork Proposal")</f>
        <v/>
      </c>
      <c r="D9" s="17">
        <f>COUNTIFS(Activities!$B$6:$B$405,"&gt;="&amp;A9,Activities!$B$6:$B$405,"&lt;="&amp;A9+6,Activities!$E$6:$E$405,"GCC Outreach")</f>
        <v/>
      </c>
      <c r="E9" s="17">
        <f>COUNTIFS(Activities!$B$6:$B$405,"&gt;="&amp;A9,Activities!$B$6:$B$405,"&lt;="&amp;A9+6,Activities!$E$6:$E$405,"Warm Introduction Request")</f>
        <v/>
      </c>
      <c r="F9" s="17">
        <f>COUNTIFS(Activities!$B$6:$B$405,"&gt;="&amp;A9,Activities!$B$6:$B$405,"&lt;="&amp;A9+6,Activities!$E$6:$E$405,"Reply Received")</f>
        <v/>
      </c>
      <c r="G9" s="17">
        <f>COUNTIFS(Activities!$B$6:$B$405,"&gt;="&amp;A9,Activities!$B$6:$B$405,"&lt;="&amp;A9+6,Activities!$E$6:$E$405,"Reply Received",Activities!$H$6:$H$405,"Yes")</f>
        <v/>
      </c>
      <c r="H9" s="17">
        <f>COUNTIFS(Activities!$B$6:$B$405,"&gt;="&amp;A9,Activities!$B$6:$B$405,"&lt;="&amp;A9+6,Activities!$E$6:$E$405,"Discovery Call Completed")</f>
        <v/>
      </c>
      <c r="I9" s="17">
        <f>COUNTIFS(Activities!$B$6:$B$405,"&gt;="&amp;A9,Activities!$B$6:$B$405,"&lt;="&amp;A9+6,Activities!$E$6:$E$405,"Blueprint Proposed")</f>
        <v/>
      </c>
      <c r="J9" s="17">
        <f>COUNTIFS(Activities!$B$6:$B$405,"&gt;="&amp;A9,Activities!$B$6:$B$405,"&lt;="&amp;A9+6,Activities!$E$6:$E$405,"Blueprint Sold")</f>
        <v/>
      </c>
      <c r="K9" s="17">
        <f>COUNTIFS(Activities!$B$6:$B$405,"&gt;="&amp;A9,Activities!$B$6:$B$405,"&lt;="&amp;A9+6,Activities!$E$6:$E$405,"Build Proposal Sent")</f>
        <v/>
      </c>
      <c r="L9" s="17">
        <f>COUNTIFS(Activities!$B$6:$B$405,"&gt;="&amp;A9,Activities!$B$6:$B$405,"&lt;="&amp;A9+6,Activities!$E$6:$E$405,"Contract Won")</f>
        <v/>
      </c>
      <c r="M9" s="18">
        <f>SUMIFS(Activities!$I$6:$I$405,Activities!$B$6:$B$405,"&gt;="&amp;A9,Activities!$B$6:$B$405,"&lt;="&amp;A9+6,Activities!$E$6:$E$405,"Payment Collected")</f>
        <v/>
      </c>
      <c r="N9" s="24" t="n"/>
      <c r="O9" s="22">
        <f>IFERROR(F9/SUM(C9:E9),0)</f>
        <v/>
      </c>
      <c r="P9" s="22">
        <f>IFERROR(G9/F9,0)</f>
        <v/>
      </c>
      <c r="Q9" s="22">
        <f>IFERROR(H9/G9,0)</f>
        <v/>
      </c>
      <c r="R9" s="22">
        <f>IFERROR((I9+K9)/H9,0)</f>
        <v/>
      </c>
      <c r="S9" s="22">
        <f>IFERROR(L9/(I9+K9),0)</f>
        <v/>
      </c>
      <c r="T9" s="17" t="n"/>
    </row>
    <row r="10">
      <c r="A10" s="21" t="n">
        <v>46272</v>
      </c>
      <c r="B10" s="17">
        <f>COUNTIFS(Leads!$B$6:$B$205,"&gt;="&amp;A10,Leads!$B$6:$B$205,"&lt;="&amp;A10+6,Leads!$H$6:$H$205,"GCC Direct")</f>
        <v/>
      </c>
      <c r="C10" s="17">
        <f>COUNTIFS(Activities!$B$6:$B$405,"&gt;="&amp;A10,Activities!$B$6:$B$405,"&lt;="&amp;A10+6,Activities!$E$6:$E$405,"Upwork Proposal")</f>
        <v/>
      </c>
      <c r="D10" s="17">
        <f>COUNTIFS(Activities!$B$6:$B$405,"&gt;="&amp;A10,Activities!$B$6:$B$405,"&lt;="&amp;A10+6,Activities!$E$6:$E$405,"GCC Outreach")</f>
        <v/>
      </c>
      <c r="E10" s="17">
        <f>COUNTIFS(Activities!$B$6:$B$405,"&gt;="&amp;A10,Activities!$B$6:$B$405,"&lt;="&amp;A10+6,Activities!$E$6:$E$405,"Warm Introduction Request")</f>
        <v/>
      </c>
      <c r="F10" s="17">
        <f>COUNTIFS(Activities!$B$6:$B$405,"&gt;="&amp;A10,Activities!$B$6:$B$405,"&lt;="&amp;A10+6,Activities!$E$6:$E$405,"Reply Received")</f>
        <v/>
      </c>
      <c r="G10" s="17">
        <f>COUNTIFS(Activities!$B$6:$B$405,"&gt;="&amp;A10,Activities!$B$6:$B$405,"&lt;="&amp;A10+6,Activities!$E$6:$E$405,"Reply Received",Activities!$H$6:$H$405,"Yes")</f>
        <v/>
      </c>
      <c r="H10" s="17">
        <f>COUNTIFS(Activities!$B$6:$B$405,"&gt;="&amp;A10,Activities!$B$6:$B$405,"&lt;="&amp;A10+6,Activities!$E$6:$E$405,"Discovery Call Completed")</f>
        <v/>
      </c>
      <c r="I10" s="17">
        <f>COUNTIFS(Activities!$B$6:$B$405,"&gt;="&amp;A10,Activities!$B$6:$B$405,"&lt;="&amp;A10+6,Activities!$E$6:$E$405,"Blueprint Proposed")</f>
        <v/>
      </c>
      <c r="J10" s="17">
        <f>COUNTIFS(Activities!$B$6:$B$405,"&gt;="&amp;A10,Activities!$B$6:$B$405,"&lt;="&amp;A10+6,Activities!$E$6:$E$405,"Blueprint Sold")</f>
        <v/>
      </c>
      <c r="K10" s="17">
        <f>COUNTIFS(Activities!$B$6:$B$405,"&gt;="&amp;A10,Activities!$B$6:$B$405,"&lt;="&amp;A10+6,Activities!$E$6:$E$405,"Build Proposal Sent")</f>
        <v/>
      </c>
      <c r="L10" s="17">
        <f>COUNTIFS(Activities!$B$6:$B$405,"&gt;="&amp;A10,Activities!$B$6:$B$405,"&lt;="&amp;A10+6,Activities!$E$6:$E$405,"Contract Won")</f>
        <v/>
      </c>
      <c r="M10" s="18">
        <f>SUMIFS(Activities!$I$6:$I$405,Activities!$B$6:$B$405,"&gt;="&amp;A10,Activities!$B$6:$B$405,"&lt;="&amp;A10+6,Activities!$E$6:$E$405,"Payment Collected")</f>
        <v/>
      </c>
      <c r="N10" s="24" t="n"/>
      <c r="O10" s="22">
        <f>IFERROR(F10/SUM(C10:E10),0)</f>
        <v/>
      </c>
      <c r="P10" s="22">
        <f>IFERROR(G10/F10,0)</f>
        <v/>
      </c>
      <c r="Q10" s="22">
        <f>IFERROR(H10/G10,0)</f>
        <v/>
      </c>
      <c r="R10" s="22">
        <f>IFERROR((I10+K10)/H10,0)</f>
        <v/>
      </c>
      <c r="S10" s="22">
        <f>IFERROR(L10/(I10+K10),0)</f>
        <v/>
      </c>
      <c r="T10" s="17" t="n"/>
    </row>
    <row r="11">
      <c r="A11" s="21" t="n">
        <v>46279</v>
      </c>
      <c r="B11" s="17">
        <f>COUNTIFS(Leads!$B$6:$B$205,"&gt;="&amp;A11,Leads!$B$6:$B$205,"&lt;="&amp;A11+6,Leads!$H$6:$H$205,"GCC Direct")</f>
        <v/>
      </c>
      <c r="C11" s="17">
        <f>COUNTIFS(Activities!$B$6:$B$405,"&gt;="&amp;A11,Activities!$B$6:$B$405,"&lt;="&amp;A11+6,Activities!$E$6:$E$405,"Upwork Proposal")</f>
        <v/>
      </c>
      <c r="D11" s="17">
        <f>COUNTIFS(Activities!$B$6:$B$405,"&gt;="&amp;A11,Activities!$B$6:$B$405,"&lt;="&amp;A11+6,Activities!$E$6:$E$405,"GCC Outreach")</f>
        <v/>
      </c>
      <c r="E11" s="17">
        <f>COUNTIFS(Activities!$B$6:$B$405,"&gt;="&amp;A11,Activities!$B$6:$B$405,"&lt;="&amp;A11+6,Activities!$E$6:$E$405,"Warm Introduction Request")</f>
        <v/>
      </c>
      <c r="F11" s="17">
        <f>COUNTIFS(Activities!$B$6:$B$405,"&gt;="&amp;A11,Activities!$B$6:$B$405,"&lt;="&amp;A11+6,Activities!$E$6:$E$405,"Reply Received")</f>
        <v/>
      </c>
      <c r="G11" s="17">
        <f>COUNTIFS(Activities!$B$6:$B$405,"&gt;="&amp;A11,Activities!$B$6:$B$405,"&lt;="&amp;A11+6,Activities!$E$6:$E$405,"Reply Received",Activities!$H$6:$H$405,"Yes")</f>
        <v/>
      </c>
      <c r="H11" s="17">
        <f>COUNTIFS(Activities!$B$6:$B$405,"&gt;="&amp;A11,Activities!$B$6:$B$405,"&lt;="&amp;A11+6,Activities!$E$6:$E$405,"Discovery Call Completed")</f>
        <v/>
      </c>
      <c r="I11" s="17">
        <f>COUNTIFS(Activities!$B$6:$B$405,"&gt;="&amp;A11,Activities!$B$6:$B$405,"&lt;="&amp;A11+6,Activities!$E$6:$E$405,"Blueprint Proposed")</f>
        <v/>
      </c>
      <c r="J11" s="17">
        <f>COUNTIFS(Activities!$B$6:$B$405,"&gt;="&amp;A11,Activities!$B$6:$B$405,"&lt;="&amp;A11+6,Activities!$E$6:$E$405,"Blueprint Sold")</f>
        <v/>
      </c>
      <c r="K11" s="17">
        <f>COUNTIFS(Activities!$B$6:$B$405,"&gt;="&amp;A11,Activities!$B$6:$B$405,"&lt;="&amp;A11+6,Activities!$E$6:$E$405,"Build Proposal Sent")</f>
        <v/>
      </c>
      <c r="L11" s="17">
        <f>COUNTIFS(Activities!$B$6:$B$405,"&gt;="&amp;A11,Activities!$B$6:$B$405,"&lt;="&amp;A11+6,Activities!$E$6:$E$405,"Contract Won")</f>
        <v/>
      </c>
      <c r="M11" s="18">
        <f>SUMIFS(Activities!$I$6:$I$405,Activities!$B$6:$B$405,"&gt;="&amp;A11,Activities!$B$6:$B$405,"&lt;="&amp;A11+6,Activities!$E$6:$E$405,"Payment Collected")</f>
        <v/>
      </c>
      <c r="N11" s="24" t="n"/>
      <c r="O11" s="22">
        <f>IFERROR(F11/SUM(C11:E11),0)</f>
        <v/>
      </c>
      <c r="P11" s="22">
        <f>IFERROR(G11/F11,0)</f>
        <v/>
      </c>
      <c r="Q11" s="22">
        <f>IFERROR(H11/G11,0)</f>
        <v/>
      </c>
      <c r="R11" s="22">
        <f>IFERROR((I11+K11)/H11,0)</f>
        <v/>
      </c>
      <c r="S11" s="22">
        <f>IFERROR(L11/(I11+K11),0)</f>
        <v/>
      </c>
      <c r="T11" s="17" t="n"/>
    </row>
    <row r="12">
      <c r="A12" s="21" t="n">
        <v>46286</v>
      </c>
      <c r="B12" s="17">
        <f>COUNTIFS(Leads!$B$6:$B$205,"&gt;="&amp;A12,Leads!$B$6:$B$205,"&lt;="&amp;A12+6,Leads!$H$6:$H$205,"GCC Direct")</f>
        <v/>
      </c>
      <c r="C12" s="17">
        <f>COUNTIFS(Activities!$B$6:$B$405,"&gt;="&amp;A12,Activities!$B$6:$B$405,"&lt;="&amp;A12+6,Activities!$E$6:$E$405,"Upwork Proposal")</f>
        <v/>
      </c>
      <c r="D12" s="17">
        <f>COUNTIFS(Activities!$B$6:$B$405,"&gt;="&amp;A12,Activities!$B$6:$B$405,"&lt;="&amp;A12+6,Activities!$E$6:$E$405,"GCC Outreach")</f>
        <v/>
      </c>
      <c r="E12" s="17">
        <f>COUNTIFS(Activities!$B$6:$B$405,"&gt;="&amp;A12,Activities!$B$6:$B$405,"&lt;="&amp;A12+6,Activities!$E$6:$E$405,"Warm Introduction Request")</f>
        <v/>
      </c>
      <c r="F12" s="17">
        <f>COUNTIFS(Activities!$B$6:$B$405,"&gt;="&amp;A12,Activities!$B$6:$B$405,"&lt;="&amp;A12+6,Activities!$E$6:$E$405,"Reply Received")</f>
        <v/>
      </c>
      <c r="G12" s="17">
        <f>COUNTIFS(Activities!$B$6:$B$405,"&gt;="&amp;A12,Activities!$B$6:$B$405,"&lt;="&amp;A12+6,Activities!$E$6:$E$405,"Reply Received",Activities!$H$6:$H$405,"Yes")</f>
        <v/>
      </c>
      <c r="H12" s="17">
        <f>COUNTIFS(Activities!$B$6:$B$405,"&gt;="&amp;A12,Activities!$B$6:$B$405,"&lt;="&amp;A12+6,Activities!$E$6:$E$405,"Discovery Call Completed")</f>
        <v/>
      </c>
      <c r="I12" s="17">
        <f>COUNTIFS(Activities!$B$6:$B$405,"&gt;="&amp;A12,Activities!$B$6:$B$405,"&lt;="&amp;A12+6,Activities!$E$6:$E$405,"Blueprint Proposed")</f>
        <v/>
      </c>
      <c r="J12" s="17">
        <f>COUNTIFS(Activities!$B$6:$B$405,"&gt;="&amp;A12,Activities!$B$6:$B$405,"&lt;="&amp;A12+6,Activities!$E$6:$E$405,"Blueprint Sold")</f>
        <v/>
      </c>
      <c r="K12" s="17">
        <f>COUNTIFS(Activities!$B$6:$B$405,"&gt;="&amp;A12,Activities!$B$6:$B$405,"&lt;="&amp;A12+6,Activities!$E$6:$E$405,"Build Proposal Sent")</f>
        <v/>
      </c>
      <c r="L12" s="17">
        <f>COUNTIFS(Activities!$B$6:$B$405,"&gt;="&amp;A12,Activities!$B$6:$B$405,"&lt;="&amp;A12+6,Activities!$E$6:$E$405,"Contract Won")</f>
        <v/>
      </c>
      <c r="M12" s="18">
        <f>SUMIFS(Activities!$I$6:$I$405,Activities!$B$6:$B$405,"&gt;="&amp;A12,Activities!$B$6:$B$405,"&lt;="&amp;A12+6,Activities!$E$6:$E$405,"Payment Collected")</f>
        <v/>
      </c>
      <c r="N12" s="24" t="n"/>
      <c r="O12" s="22">
        <f>IFERROR(F12/SUM(C12:E12),0)</f>
        <v/>
      </c>
      <c r="P12" s="22">
        <f>IFERROR(G12/F12,0)</f>
        <v/>
      </c>
      <c r="Q12" s="22">
        <f>IFERROR(H12/G12,0)</f>
        <v/>
      </c>
      <c r="R12" s="22">
        <f>IFERROR((I12+K12)/H12,0)</f>
        <v/>
      </c>
      <c r="S12" s="22">
        <f>IFERROR(L12/(I12+K12),0)</f>
        <v/>
      </c>
      <c r="T12" s="17" t="n"/>
    </row>
    <row r="13">
      <c r="A13" s="21" t="n">
        <v>46293</v>
      </c>
      <c r="B13" s="17">
        <f>COUNTIFS(Leads!$B$6:$B$205,"&gt;="&amp;A13,Leads!$B$6:$B$205,"&lt;="&amp;A13+6,Leads!$H$6:$H$205,"GCC Direct")</f>
        <v/>
      </c>
      <c r="C13" s="17">
        <f>COUNTIFS(Activities!$B$6:$B$405,"&gt;="&amp;A13,Activities!$B$6:$B$405,"&lt;="&amp;A13+6,Activities!$E$6:$E$405,"Upwork Proposal")</f>
        <v/>
      </c>
      <c r="D13" s="17">
        <f>COUNTIFS(Activities!$B$6:$B$405,"&gt;="&amp;A13,Activities!$B$6:$B$405,"&lt;="&amp;A13+6,Activities!$E$6:$E$405,"GCC Outreach")</f>
        <v/>
      </c>
      <c r="E13" s="17">
        <f>COUNTIFS(Activities!$B$6:$B$405,"&gt;="&amp;A13,Activities!$B$6:$B$405,"&lt;="&amp;A13+6,Activities!$E$6:$E$405,"Warm Introduction Request")</f>
        <v/>
      </c>
      <c r="F13" s="17">
        <f>COUNTIFS(Activities!$B$6:$B$405,"&gt;="&amp;A13,Activities!$B$6:$B$405,"&lt;="&amp;A13+6,Activities!$E$6:$E$405,"Reply Received")</f>
        <v/>
      </c>
      <c r="G13" s="17">
        <f>COUNTIFS(Activities!$B$6:$B$405,"&gt;="&amp;A13,Activities!$B$6:$B$405,"&lt;="&amp;A13+6,Activities!$E$6:$E$405,"Reply Received",Activities!$H$6:$H$405,"Yes")</f>
        <v/>
      </c>
      <c r="H13" s="17">
        <f>COUNTIFS(Activities!$B$6:$B$405,"&gt;="&amp;A13,Activities!$B$6:$B$405,"&lt;="&amp;A13+6,Activities!$E$6:$E$405,"Discovery Call Completed")</f>
        <v/>
      </c>
      <c r="I13" s="17">
        <f>COUNTIFS(Activities!$B$6:$B$405,"&gt;="&amp;A13,Activities!$B$6:$B$405,"&lt;="&amp;A13+6,Activities!$E$6:$E$405,"Blueprint Proposed")</f>
        <v/>
      </c>
      <c r="J13" s="17">
        <f>COUNTIFS(Activities!$B$6:$B$405,"&gt;="&amp;A13,Activities!$B$6:$B$405,"&lt;="&amp;A13+6,Activities!$E$6:$E$405,"Blueprint Sold")</f>
        <v/>
      </c>
      <c r="K13" s="17">
        <f>COUNTIFS(Activities!$B$6:$B$405,"&gt;="&amp;A13,Activities!$B$6:$B$405,"&lt;="&amp;A13+6,Activities!$E$6:$E$405,"Build Proposal Sent")</f>
        <v/>
      </c>
      <c r="L13" s="17">
        <f>COUNTIFS(Activities!$B$6:$B$405,"&gt;="&amp;A13,Activities!$B$6:$B$405,"&lt;="&amp;A13+6,Activities!$E$6:$E$405,"Contract Won")</f>
        <v/>
      </c>
      <c r="M13" s="18">
        <f>SUMIFS(Activities!$I$6:$I$405,Activities!$B$6:$B$405,"&gt;="&amp;A13,Activities!$B$6:$B$405,"&lt;="&amp;A13+6,Activities!$E$6:$E$405,"Payment Collected")</f>
        <v/>
      </c>
      <c r="N13" s="24" t="n"/>
      <c r="O13" s="22">
        <f>IFERROR(F13/SUM(C13:E13),0)</f>
        <v/>
      </c>
      <c r="P13" s="22">
        <f>IFERROR(G13/F13,0)</f>
        <v/>
      </c>
      <c r="Q13" s="22">
        <f>IFERROR(H13/G13,0)</f>
        <v/>
      </c>
      <c r="R13" s="22">
        <f>IFERROR((I13+K13)/H13,0)</f>
        <v/>
      </c>
      <c r="S13" s="22">
        <f>IFERROR(L13/(I13+K13),0)</f>
        <v/>
      </c>
      <c r="T13" s="17" t="n"/>
    </row>
    <row r="14">
      <c r="A14" s="21" t="n">
        <v>46300</v>
      </c>
      <c r="B14" s="17">
        <f>COUNTIFS(Leads!$B$6:$B$205,"&gt;="&amp;A14,Leads!$B$6:$B$205,"&lt;="&amp;A14+6,Leads!$H$6:$H$205,"GCC Direct")</f>
        <v/>
      </c>
      <c r="C14" s="17">
        <f>COUNTIFS(Activities!$B$6:$B$405,"&gt;="&amp;A14,Activities!$B$6:$B$405,"&lt;="&amp;A14+6,Activities!$E$6:$E$405,"Upwork Proposal")</f>
        <v/>
      </c>
      <c r="D14" s="17">
        <f>COUNTIFS(Activities!$B$6:$B$405,"&gt;="&amp;A14,Activities!$B$6:$B$405,"&lt;="&amp;A14+6,Activities!$E$6:$E$405,"GCC Outreach")</f>
        <v/>
      </c>
      <c r="E14" s="17">
        <f>COUNTIFS(Activities!$B$6:$B$405,"&gt;="&amp;A14,Activities!$B$6:$B$405,"&lt;="&amp;A14+6,Activities!$E$6:$E$405,"Warm Introduction Request")</f>
        <v/>
      </c>
      <c r="F14" s="17">
        <f>COUNTIFS(Activities!$B$6:$B$405,"&gt;="&amp;A14,Activities!$B$6:$B$405,"&lt;="&amp;A14+6,Activities!$E$6:$E$405,"Reply Received")</f>
        <v/>
      </c>
      <c r="G14" s="17">
        <f>COUNTIFS(Activities!$B$6:$B$405,"&gt;="&amp;A14,Activities!$B$6:$B$405,"&lt;="&amp;A14+6,Activities!$E$6:$E$405,"Reply Received",Activities!$H$6:$H$405,"Yes")</f>
        <v/>
      </c>
      <c r="H14" s="17">
        <f>COUNTIFS(Activities!$B$6:$B$405,"&gt;="&amp;A14,Activities!$B$6:$B$405,"&lt;="&amp;A14+6,Activities!$E$6:$E$405,"Discovery Call Completed")</f>
        <v/>
      </c>
      <c r="I14" s="17">
        <f>COUNTIFS(Activities!$B$6:$B$405,"&gt;="&amp;A14,Activities!$B$6:$B$405,"&lt;="&amp;A14+6,Activities!$E$6:$E$405,"Blueprint Proposed")</f>
        <v/>
      </c>
      <c r="J14" s="17">
        <f>COUNTIFS(Activities!$B$6:$B$405,"&gt;="&amp;A14,Activities!$B$6:$B$405,"&lt;="&amp;A14+6,Activities!$E$6:$E$405,"Blueprint Sold")</f>
        <v/>
      </c>
      <c r="K14" s="17">
        <f>COUNTIFS(Activities!$B$6:$B$405,"&gt;="&amp;A14,Activities!$B$6:$B$405,"&lt;="&amp;A14+6,Activities!$E$6:$E$405,"Build Proposal Sent")</f>
        <v/>
      </c>
      <c r="L14" s="17">
        <f>COUNTIFS(Activities!$B$6:$B$405,"&gt;="&amp;A14,Activities!$B$6:$B$405,"&lt;="&amp;A14+6,Activities!$E$6:$E$405,"Contract Won")</f>
        <v/>
      </c>
      <c r="M14" s="18">
        <f>SUMIFS(Activities!$I$6:$I$405,Activities!$B$6:$B$405,"&gt;="&amp;A14,Activities!$B$6:$B$405,"&lt;="&amp;A14+6,Activities!$E$6:$E$405,"Payment Collected")</f>
        <v/>
      </c>
      <c r="N14" s="24" t="n"/>
      <c r="O14" s="22">
        <f>IFERROR(F14/SUM(C14:E14),0)</f>
        <v/>
      </c>
      <c r="P14" s="22">
        <f>IFERROR(G14/F14,0)</f>
        <v/>
      </c>
      <c r="Q14" s="22">
        <f>IFERROR(H14/G14,0)</f>
        <v/>
      </c>
      <c r="R14" s="22">
        <f>IFERROR((I14+K14)/H14,0)</f>
        <v/>
      </c>
      <c r="S14" s="22">
        <f>IFERROR(L14/(I14+K14),0)</f>
        <v/>
      </c>
      <c r="T14" s="17" t="n"/>
    </row>
    <row r="15">
      <c r="A15" s="21" t="n">
        <v>46307</v>
      </c>
      <c r="B15" s="17">
        <f>COUNTIFS(Leads!$B$6:$B$205,"&gt;="&amp;A15,Leads!$B$6:$B$205,"&lt;="&amp;A15+6,Leads!$H$6:$H$205,"GCC Direct")</f>
        <v/>
      </c>
      <c r="C15" s="17">
        <f>COUNTIFS(Activities!$B$6:$B$405,"&gt;="&amp;A15,Activities!$B$6:$B$405,"&lt;="&amp;A15+6,Activities!$E$6:$E$405,"Upwork Proposal")</f>
        <v/>
      </c>
      <c r="D15" s="17">
        <f>COUNTIFS(Activities!$B$6:$B$405,"&gt;="&amp;A15,Activities!$B$6:$B$405,"&lt;="&amp;A15+6,Activities!$E$6:$E$405,"GCC Outreach")</f>
        <v/>
      </c>
      <c r="E15" s="17">
        <f>COUNTIFS(Activities!$B$6:$B$405,"&gt;="&amp;A15,Activities!$B$6:$B$405,"&lt;="&amp;A15+6,Activities!$E$6:$E$405,"Warm Introduction Request")</f>
        <v/>
      </c>
      <c r="F15" s="17">
        <f>COUNTIFS(Activities!$B$6:$B$405,"&gt;="&amp;A15,Activities!$B$6:$B$405,"&lt;="&amp;A15+6,Activities!$E$6:$E$405,"Reply Received")</f>
        <v/>
      </c>
      <c r="G15" s="17">
        <f>COUNTIFS(Activities!$B$6:$B$405,"&gt;="&amp;A15,Activities!$B$6:$B$405,"&lt;="&amp;A15+6,Activities!$E$6:$E$405,"Reply Received",Activities!$H$6:$H$405,"Yes")</f>
        <v/>
      </c>
      <c r="H15" s="17">
        <f>COUNTIFS(Activities!$B$6:$B$405,"&gt;="&amp;A15,Activities!$B$6:$B$405,"&lt;="&amp;A15+6,Activities!$E$6:$E$405,"Discovery Call Completed")</f>
        <v/>
      </c>
      <c r="I15" s="17">
        <f>COUNTIFS(Activities!$B$6:$B$405,"&gt;="&amp;A15,Activities!$B$6:$B$405,"&lt;="&amp;A15+6,Activities!$E$6:$E$405,"Blueprint Proposed")</f>
        <v/>
      </c>
      <c r="J15" s="17">
        <f>COUNTIFS(Activities!$B$6:$B$405,"&gt;="&amp;A15,Activities!$B$6:$B$405,"&lt;="&amp;A15+6,Activities!$E$6:$E$405,"Blueprint Sold")</f>
        <v/>
      </c>
      <c r="K15" s="17">
        <f>COUNTIFS(Activities!$B$6:$B$405,"&gt;="&amp;A15,Activities!$B$6:$B$405,"&lt;="&amp;A15+6,Activities!$E$6:$E$405,"Build Proposal Sent")</f>
        <v/>
      </c>
      <c r="L15" s="17">
        <f>COUNTIFS(Activities!$B$6:$B$405,"&gt;="&amp;A15,Activities!$B$6:$B$405,"&lt;="&amp;A15+6,Activities!$E$6:$E$405,"Contract Won")</f>
        <v/>
      </c>
      <c r="M15" s="18">
        <f>SUMIFS(Activities!$I$6:$I$405,Activities!$B$6:$B$405,"&gt;="&amp;A15,Activities!$B$6:$B$405,"&lt;="&amp;A15+6,Activities!$E$6:$E$405,"Payment Collected")</f>
        <v/>
      </c>
      <c r="N15" s="24" t="n"/>
      <c r="O15" s="22">
        <f>IFERROR(F15/SUM(C15:E15),0)</f>
        <v/>
      </c>
      <c r="P15" s="22">
        <f>IFERROR(G15/F15,0)</f>
        <v/>
      </c>
      <c r="Q15" s="22">
        <f>IFERROR(H15/G15,0)</f>
        <v/>
      </c>
      <c r="R15" s="22">
        <f>IFERROR((I15+K15)/H15,0)</f>
        <v/>
      </c>
      <c r="S15" s="22">
        <f>IFERROR(L15/(I15+K15),0)</f>
        <v/>
      </c>
      <c r="T15" s="17" t="n"/>
    </row>
    <row r="16">
      <c r="A16" s="21" t="n">
        <v>46314</v>
      </c>
      <c r="B16" s="17">
        <f>COUNTIFS(Leads!$B$6:$B$205,"&gt;="&amp;A16,Leads!$B$6:$B$205,"&lt;="&amp;A16+6,Leads!$H$6:$H$205,"GCC Direct")</f>
        <v/>
      </c>
      <c r="C16" s="17">
        <f>COUNTIFS(Activities!$B$6:$B$405,"&gt;="&amp;A16,Activities!$B$6:$B$405,"&lt;="&amp;A16+6,Activities!$E$6:$E$405,"Upwork Proposal")</f>
        <v/>
      </c>
      <c r="D16" s="17">
        <f>COUNTIFS(Activities!$B$6:$B$405,"&gt;="&amp;A16,Activities!$B$6:$B$405,"&lt;="&amp;A16+6,Activities!$E$6:$E$405,"GCC Outreach")</f>
        <v/>
      </c>
      <c r="E16" s="17">
        <f>COUNTIFS(Activities!$B$6:$B$405,"&gt;="&amp;A16,Activities!$B$6:$B$405,"&lt;="&amp;A16+6,Activities!$E$6:$E$405,"Warm Introduction Request")</f>
        <v/>
      </c>
      <c r="F16" s="17">
        <f>COUNTIFS(Activities!$B$6:$B$405,"&gt;="&amp;A16,Activities!$B$6:$B$405,"&lt;="&amp;A16+6,Activities!$E$6:$E$405,"Reply Received")</f>
        <v/>
      </c>
      <c r="G16" s="17">
        <f>COUNTIFS(Activities!$B$6:$B$405,"&gt;="&amp;A16,Activities!$B$6:$B$405,"&lt;="&amp;A16+6,Activities!$E$6:$E$405,"Reply Received",Activities!$H$6:$H$405,"Yes")</f>
        <v/>
      </c>
      <c r="H16" s="17">
        <f>COUNTIFS(Activities!$B$6:$B$405,"&gt;="&amp;A16,Activities!$B$6:$B$405,"&lt;="&amp;A16+6,Activities!$E$6:$E$405,"Discovery Call Completed")</f>
        <v/>
      </c>
      <c r="I16" s="17">
        <f>COUNTIFS(Activities!$B$6:$B$405,"&gt;="&amp;A16,Activities!$B$6:$B$405,"&lt;="&amp;A16+6,Activities!$E$6:$E$405,"Blueprint Proposed")</f>
        <v/>
      </c>
      <c r="J16" s="17">
        <f>COUNTIFS(Activities!$B$6:$B$405,"&gt;="&amp;A16,Activities!$B$6:$B$405,"&lt;="&amp;A16+6,Activities!$E$6:$E$405,"Blueprint Sold")</f>
        <v/>
      </c>
      <c r="K16" s="17">
        <f>COUNTIFS(Activities!$B$6:$B$405,"&gt;="&amp;A16,Activities!$B$6:$B$405,"&lt;="&amp;A16+6,Activities!$E$6:$E$405,"Build Proposal Sent")</f>
        <v/>
      </c>
      <c r="L16" s="17">
        <f>COUNTIFS(Activities!$B$6:$B$405,"&gt;="&amp;A16,Activities!$B$6:$B$405,"&lt;="&amp;A16+6,Activities!$E$6:$E$405,"Contract Won")</f>
        <v/>
      </c>
      <c r="M16" s="18">
        <f>SUMIFS(Activities!$I$6:$I$405,Activities!$B$6:$B$405,"&gt;="&amp;A16,Activities!$B$6:$B$405,"&lt;="&amp;A16+6,Activities!$E$6:$E$405,"Payment Collected")</f>
        <v/>
      </c>
      <c r="N16" s="24" t="n"/>
      <c r="O16" s="22">
        <f>IFERROR(F16/SUM(C16:E16),0)</f>
        <v/>
      </c>
      <c r="P16" s="22">
        <f>IFERROR(G16/F16,0)</f>
        <v/>
      </c>
      <c r="Q16" s="22">
        <f>IFERROR(H16/G16,0)</f>
        <v/>
      </c>
      <c r="R16" s="22">
        <f>IFERROR((I16+K16)/H16,0)</f>
        <v/>
      </c>
      <c r="S16" s="22">
        <f>IFERROR(L16/(I16+K16),0)</f>
        <v/>
      </c>
      <c r="T16" s="17" t="n"/>
    </row>
    <row r="17">
      <c r="A17" s="21" t="n">
        <v>46321</v>
      </c>
      <c r="B17" s="17">
        <f>COUNTIFS(Leads!$B$6:$B$205,"&gt;="&amp;A17,Leads!$B$6:$B$205,"&lt;="&amp;A17+6,Leads!$H$6:$H$205,"GCC Direct")</f>
        <v/>
      </c>
      <c r="C17" s="17">
        <f>COUNTIFS(Activities!$B$6:$B$405,"&gt;="&amp;A17,Activities!$B$6:$B$405,"&lt;="&amp;A17+6,Activities!$E$6:$E$405,"Upwork Proposal")</f>
        <v/>
      </c>
      <c r="D17" s="17">
        <f>COUNTIFS(Activities!$B$6:$B$405,"&gt;="&amp;A17,Activities!$B$6:$B$405,"&lt;="&amp;A17+6,Activities!$E$6:$E$405,"GCC Outreach")</f>
        <v/>
      </c>
      <c r="E17" s="17">
        <f>COUNTIFS(Activities!$B$6:$B$405,"&gt;="&amp;A17,Activities!$B$6:$B$405,"&lt;="&amp;A17+6,Activities!$E$6:$E$405,"Warm Introduction Request")</f>
        <v/>
      </c>
      <c r="F17" s="17">
        <f>COUNTIFS(Activities!$B$6:$B$405,"&gt;="&amp;A17,Activities!$B$6:$B$405,"&lt;="&amp;A17+6,Activities!$E$6:$E$405,"Reply Received")</f>
        <v/>
      </c>
      <c r="G17" s="17">
        <f>COUNTIFS(Activities!$B$6:$B$405,"&gt;="&amp;A17,Activities!$B$6:$B$405,"&lt;="&amp;A17+6,Activities!$E$6:$E$405,"Reply Received",Activities!$H$6:$H$405,"Yes")</f>
        <v/>
      </c>
      <c r="H17" s="17">
        <f>COUNTIFS(Activities!$B$6:$B$405,"&gt;="&amp;A17,Activities!$B$6:$B$405,"&lt;="&amp;A17+6,Activities!$E$6:$E$405,"Discovery Call Completed")</f>
        <v/>
      </c>
      <c r="I17" s="17">
        <f>COUNTIFS(Activities!$B$6:$B$405,"&gt;="&amp;A17,Activities!$B$6:$B$405,"&lt;="&amp;A17+6,Activities!$E$6:$E$405,"Blueprint Proposed")</f>
        <v/>
      </c>
      <c r="J17" s="17">
        <f>COUNTIFS(Activities!$B$6:$B$405,"&gt;="&amp;A17,Activities!$B$6:$B$405,"&lt;="&amp;A17+6,Activities!$E$6:$E$405,"Blueprint Sold")</f>
        <v/>
      </c>
      <c r="K17" s="17">
        <f>COUNTIFS(Activities!$B$6:$B$405,"&gt;="&amp;A17,Activities!$B$6:$B$405,"&lt;="&amp;A17+6,Activities!$E$6:$E$405,"Build Proposal Sent")</f>
        <v/>
      </c>
      <c r="L17" s="17">
        <f>COUNTIFS(Activities!$B$6:$B$405,"&gt;="&amp;A17,Activities!$B$6:$B$405,"&lt;="&amp;A17+6,Activities!$E$6:$E$405,"Contract Won")</f>
        <v/>
      </c>
      <c r="M17" s="18">
        <f>SUMIFS(Activities!$I$6:$I$405,Activities!$B$6:$B$405,"&gt;="&amp;A17,Activities!$B$6:$B$405,"&lt;="&amp;A17+6,Activities!$E$6:$E$405,"Payment Collected")</f>
        <v/>
      </c>
      <c r="N17" s="24" t="n"/>
      <c r="O17" s="22">
        <f>IFERROR(F17/SUM(C17:E17),0)</f>
        <v/>
      </c>
      <c r="P17" s="22">
        <f>IFERROR(G17/F17,0)</f>
        <v/>
      </c>
      <c r="Q17" s="22">
        <f>IFERROR(H17/G17,0)</f>
        <v/>
      </c>
      <c r="R17" s="22">
        <f>IFERROR((I17+K17)/H17,0)</f>
        <v/>
      </c>
      <c r="S17" s="22">
        <f>IFERROR(L17/(I17+K17),0)</f>
        <v/>
      </c>
      <c r="T17" s="17" t="n"/>
    </row>
  </sheetData>
  <mergeCells count="2">
    <mergeCell ref="A1:T1"/>
    <mergeCell ref="A2:T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1" t="inlineStr">
        <is>
          <t>Kepler Dev — Workbook Guide</t>
        </is>
      </c>
    </row>
    <row r="2" ht="22" customHeight="1">
      <c r="A2" s="2" t="inlineStr">
        <is>
          <t>How to use the tracker without corrupting the reporting</t>
        </is>
      </c>
    </row>
    <row r="4" ht="24" customHeight="1">
      <c r="A4" s="9" t="inlineStr">
        <is>
          <t>WORKFLOW</t>
        </is>
      </c>
    </row>
    <row r="5" ht="38" customHeight="1">
      <c r="A5" s="25" t="inlineStr">
        <is>
          <t>1. Leads</t>
        </is>
      </c>
      <c r="B5" s="17" t="inlineStr">
        <is>
          <t>Create one row for each Upwork job, company, referral, or other opportunity. Do not create a new row for every interaction.</t>
        </is>
      </c>
    </row>
    <row r="6" ht="38" customHeight="1">
      <c r="A6" s="25" t="inlineStr">
        <is>
          <t>2. Scoring</t>
        </is>
      </c>
      <c r="B6" s="17" t="inlineStr">
        <is>
          <t>Score all seven qualification dimensions from 0 to 2. Pursue at 10–14, review at 9, and reject below 9 unless a documented exception exists.</t>
        </is>
      </c>
    </row>
    <row r="7" ht="38" customHeight="1">
      <c r="A7" s="25" t="inlineStr">
        <is>
          <t>3. Activities</t>
        </is>
      </c>
      <c r="B7" s="17" t="inlineStr">
        <is>
          <t>Record every proposal, outreach message, reply, call, offer, win, and collected payment. Dashboards calculate from exact Activity Type labels.</t>
        </is>
      </c>
    </row>
    <row r="8" ht="38" customHeight="1">
      <c r="A8" s="25" t="inlineStr">
        <is>
          <t>4. Qualified reply</t>
        </is>
      </c>
      <c r="B8" s="17" t="inlineStr">
        <is>
          <t>Mark Yes only when a reply shows a real problem, plausible authority/access, budget or discovery willingness, and realistic timing.</t>
        </is>
      </c>
    </row>
    <row r="9" ht="38" customHeight="1">
      <c r="A9" s="25" t="inlineStr">
        <is>
          <t>5. Amount USD</t>
        </is>
      </c>
      <c r="B9" s="17" t="inlineStr">
        <is>
          <t>Use Amount only for Payment Collected and other events where a real dollar amount belongs. Do not count a verbal agreement as revenue.</t>
        </is>
      </c>
    </row>
    <row r="10" ht="38" customHeight="1">
      <c r="A10" s="25" t="inlineStr">
        <is>
          <t>6. Pipeline</t>
        </is>
      </c>
      <c r="B10" s="17" t="inlineStr">
        <is>
          <t>Estimated Value × Probability produces weighted pipeline. Set probability to 0% for lost/rejected leads and 100% only for won/funded work.</t>
        </is>
      </c>
    </row>
    <row r="11" ht="38" customHeight="1">
      <c r="A11" s="25" t="inlineStr">
        <is>
          <t>7. Next actions</t>
        </is>
      </c>
      <c r="B11" s="17" t="inlineStr">
        <is>
          <t>Every active lead needs one clear next action and date. Overdue actions appear on the Dashboard.</t>
        </is>
      </c>
    </row>
    <row r="12" ht="38" customHeight="1">
      <c r="A12" s="25" t="inlineStr">
        <is>
          <t>8. Weekly review</t>
        </is>
      </c>
      <c r="B12" s="17" t="inlineStr">
        <is>
          <t>At the end of each week, enter the open pipeline snapshot and write one evidence-based learning or decision. Avoid changing several variables simultaneously.</t>
        </is>
      </c>
    </row>
    <row r="13" ht="38" customHeight="1">
      <c r="A13" s="25" t="inlineStr">
        <is>
          <t>9. Dashboard period</t>
        </is>
      </c>
      <c r="B13" s="17" t="inlineStr">
        <is>
          <t>Change the yellow Reporting start and Reporting end cells to review any period.</t>
        </is>
      </c>
    </row>
    <row r="14" ht="38" customHeight="1">
      <c r="A14" s="25" t="inlineStr">
        <is>
          <t>10. Truthfulness</t>
        </is>
      </c>
      <c r="B14" s="17" t="inlineStr">
        <is>
          <t>Record observed facts separately from hypotheses. Track actual collected cash, not hopeful revenue.</t>
        </is>
      </c>
    </row>
    <row r="17" ht="24" customHeight="1">
      <c r="A17" s="9" t="inlineStr">
        <is>
          <t>FIRST CONTROLLED-LAUNCH TARGETS</t>
        </is>
      </c>
    </row>
    <row r="18">
      <c r="A18" s="26" t="n">
        <v>1</v>
      </c>
      <c r="B18" s="14" t="inlineStr">
        <is>
          <t>20 selective Upwork proposals</t>
        </is>
      </c>
    </row>
    <row r="19">
      <c r="A19" s="26" t="n">
        <v>2</v>
      </c>
      <c r="B19" s="14" t="inlineStr">
        <is>
          <t>30 researched GCC accounts</t>
        </is>
      </c>
    </row>
    <row r="20">
      <c r="A20" s="26" t="n">
        <v>3</v>
      </c>
      <c r="B20" s="14" t="inlineStr">
        <is>
          <t>15 personalized GCC messages</t>
        </is>
      </c>
    </row>
    <row r="21">
      <c r="A21" s="26" t="n">
        <v>4</v>
      </c>
      <c r="B21" s="14" t="inlineStr">
        <is>
          <t>10 warm introduction requests</t>
        </is>
      </c>
    </row>
    <row r="22">
      <c r="A22" s="26" t="n">
        <v>5</v>
      </c>
      <c r="B22" s="14" t="inlineStr">
        <is>
          <t>5 qualified discovery calls</t>
        </is>
      </c>
    </row>
    <row r="23">
      <c r="A23" s="26" t="n">
        <v>6</v>
      </c>
      <c r="B23" s="14" t="inlineStr">
        <is>
          <t>2 Blueprint proposals</t>
        </is>
      </c>
    </row>
    <row r="24">
      <c r="A24" s="26" t="n">
        <v>7</v>
      </c>
      <c r="B24" s="14" t="inlineStr">
        <is>
          <t>1 build proposal</t>
        </is>
      </c>
    </row>
    <row r="25">
      <c r="A25" s="26" t="n">
        <v>8</v>
      </c>
      <c r="B25" s="14" t="inlineStr">
        <is>
          <t>$2,000 collected-cash milestone</t>
        </is>
      </c>
    </row>
  </sheetData>
  <mergeCells count="22">
    <mergeCell ref="A17:G17"/>
    <mergeCell ref="B14:G14"/>
    <mergeCell ref="B23:G23"/>
    <mergeCell ref="A4:G4"/>
    <mergeCell ref="B8:G8"/>
    <mergeCell ref="B13:G13"/>
    <mergeCell ref="B19:G19"/>
    <mergeCell ref="B10:G10"/>
    <mergeCell ref="B9:G9"/>
    <mergeCell ref="B6:G6"/>
    <mergeCell ref="B24:G24"/>
    <mergeCell ref="B20:G20"/>
    <mergeCell ref="A1:G1"/>
    <mergeCell ref="B5:G5"/>
    <mergeCell ref="B7:G7"/>
    <mergeCell ref="B25:G25"/>
    <mergeCell ref="B22:G22"/>
    <mergeCell ref="A2:G2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Channels</t>
        </is>
      </c>
      <c r="B1" s="27" t="inlineStr">
        <is>
          <t>Offers</t>
        </is>
      </c>
      <c r="C1" s="27" t="inlineStr">
        <is>
          <t>Stages</t>
        </is>
      </c>
      <c r="D1" s="27" t="inlineStr">
        <is>
          <t>ActivityTypes</t>
        </is>
      </c>
      <c r="E1" s="27" t="inlineStr">
        <is>
          <t>Probabilities</t>
        </is>
      </c>
    </row>
    <row r="2">
      <c r="A2" t="inlineStr">
        <is>
          <t>Upwork</t>
        </is>
      </c>
      <c r="B2" t="inlineStr">
        <is>
          <t>Product Blueprint</t>
        </is>
      </c>
      <c r="C2" t="inlineStr">
        <is>
          <t>Identified</t>
        </is>
      </c>
      <c r="D2" t="inlineStr">
        <is>
          <t>Upwork Proposal</t>
        </is>
      </c>
      <c r="E2" s="28" t="n">
        <v>0</v>
      </c>
    </row>
    <row r="3">
      <c r="A3" t="inlineStr">
        <is>
          <t>GCC Direct</t>
        </is>
      </c>
      <c r="B3" t="inlineStr">
        <is>
          <t>Launch Sprint</t>
        </is>
      </c>
      <c r="C3" t="inlineStr">
        <is>
          <t>Researched</t>
        </is>
      </c>
      <c r="D3" t="inlineStr">
        <is>
          <t>GCC Outreach</t>
        </is>
      </c>
      <c r="E3" s="28" t="n">
        <v>0.1</v>
      </c>
    </row>
    <row r="4">
      <c r="A4" t="inlineStr">
        <is>
          <t>Warm Referral</t>
        </is>
      </c>
      <c r="B4" t="inlineStr">
        <is>
          <t>Operations Platform</t>
        </is>
      </c>
      <c r="C4" t="inlineStr">
        <is>
          <t>Contacted/Applied</t>
        </is>
      </c>
      <c r="D4" t="inlineStr">
        <is>
          <t>Warm Introduction Request</t>
        </is>
      </c>
      <c r="E4" s="28" t="n">
        <v>0.25</v>
      </c>
    </row>
    <row r="5">
      <c r="A5" t="inlineStr">
        <is>
          <t>Egypt Local</t>
        </is>
      </c>
      <c r="B5" t="inlineStr">
        <is>
          <t>Product Care</t>
        </is>
      </c>
      <c r="C5" t="inlineStr">
        <is>
          <t>Replied</t>
        </is>
      </c>
      <c r="D5" t="inlineStr">
        <is>
          <t>Follow-up</t>
        </is>
      </c>
      <c r="E5" s="28" t="n">
        <v>0.5</v>
      </c>
    </row>
    <row r="6">
      <c r="A6" t="inlineStr">
        <is>
          <t>Website</t>
        </is>
      </c>
      <c r="B6" t="inlineStr">
        <is>
          <t>Technical Pilot</t>
        </is>
      </c>
      <c r="C6" t="inlineStr">
        <is>
          <t>Qualified</t>
        </is>
      </c>
      <c r="D6" t="inlineStr">
        <is>
          <t>Reply Received</t>
        </is>
      </c>
      <c r="E6" s="28" t="n">
        <v>0.75</v>
      </c>
    </row>
    <row r="7">
      <c r="A7" t="inlineStr">
        <is>
          <t>Other</t>
        </is>
      </c>
      <c r="B7" t="inlineStr">
        <is>
          <t>Not Yet Known</t>
        </is>
      </c>
      <c r="C7" t="inlineStr">
        <is>
          <t>Discovery Scheduled</t>
        </is>
      </c>
      <c r="D7" t="inlineStr">
        <is>
          <t>Discovery Call Scheduled</t>
        </is>
      </c>
      <c r="E7" s="28" t="n">
        <v>0.9</v>
      </c>
    </row>
    <row r="8">
      <c r="C8" t="inlineStr">
        <is>
          <t>Blueprint Proposed</t>
        </is>
      </c>
      <c r="D8" t="inlineStr">
        <is>
          <t>Discovery Call Completed</t>
        </is>
      </c>
      <c r="E8" s="28" t="n">
        <v>1</v>
      </c>
    </row>
    <row r="9">
      <c r="C9" t="inlineStr">
        <is>
          <t>Build Proposed</t>
        </is>
      </c>
      <c r="D9" t="inlineStr">
        <is>
          <t>Blueprint Proposed</t>
        </is>
      </c>
    </row>
    <row r="10">
      <c r="C10" t="inlineStr">
        <is>
          <t>Verbal Agreement</t>
        </is>
      </c>
      <c r="D10" t="inlineStr">
        <is>
          <t>Blueprint Sold</t>
        </is>
      </c>
    </row>
    <row r="11">
      <c r="C11" t="inlineStr">
        <is>
          <t>Won</t>
        </is>
      </c>
      <c r="D11" t="inlineStr">
        <is>
          <t>Build Proposal Sent</t>
        </is>
      </c>
    </row>
    <row r="12">
      <c r="C12" t="inlineStr">
        <is>
          <t>Nurture</t>
        </is>
      </c>
      <c r="D12" t="inlineStr">
        <is>
          <t>Contract Won</t>
        </is>
      </c>
    </row>
    <row r="13">
      <c r="C13" t="inlineStr">
        <is>
          <t>Lost/Rejected</t>
        </is>
      </c>
      <c r="D13" t="inlineStr">
        <is>
          <t>Payment Collected</t>
        </is>
      </c>
    </row>
    <row r="14">
      <c r="D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Kepler Dev</dc:creator>
  <dc:title xmlns:dc="http://purl.org/dc/elements/1.1/">Kepler Dev Sales Tracker</dc:title>
  <dc:description xmlns:dc="http://purl.org/dc/elements/1.1/">Controlled-launch sales operating workbook for Kepler Dev.</dc:description>
  <dc:subject xmlns:dc="http://purl.org/dc/elements/1.1/">Stage 3 lead tracker, CRM, dashboard, and weekly sales scorecard</dc:subject>
  <dcterms:created xmlns:dcterms="http://purl.org/dc/terms/" xmlns:xsi="http://www.w3.org/2001/XMLSchema-instance" xsi:type="dcterms:W3CDTF">2026-08-08T20:36:20Z</dcterms:created>
  <dcterms:modified xmlns:dcterms="http://purl.org/dc/terms/" xmlns:xsi="http://www.w3.org/2001/XMLSchema-instance" xsi:type="dcterms:W3CDTF">2026-08-08T20:36:21Z</dcterms:modified>
</cp:coreProperties>
</file>